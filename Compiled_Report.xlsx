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57720" yWindow="-120" windowWidth="29040" windowHeight="15720" tabRatio="600" firstSheet="0" activeTab="3" autoFilterDateGrouping="1"/>
    <workbookView visibility="visible" minimized="0" showHorizontalScroll="1" showVerticalScroll="1" showSheetTabs="1" xWindow="-57720" yWindow="-120" windowWidth="29040" windowHeight="15720" tabRatio="600" firstSheet="0" activeTab="2" autoFilterDateGrouping="1"/>
  </bookViews>
  <sheets>
    <sheet name="Harvest Reports" sheetId="1" state="visible" r:id="rId1"/>
    <sheet name="Packouts" sheetId="2" state="visible" r:id="rId2"/>
    <sheet name="Pool Statements" sheetId="3" state="visible" r:id="rId3"/>
    <sheet name="Contract Labor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Aptos Narrow"/>
      <family val="2"/>
      <b val="1"/>
      <color theme="1"/>
      <sz val="12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0" fontId="3" fillId="0" borderId="0"/>
    <xf numFmtId="0" fontId="4" fillId="0" borderId="1"/>
    <xf numFmtId="0" fontId="4" fillId="0" borderId="0"/>
    <xf numFmtId="0" fontId="4" fillId="0" borderId="2"/>
  </cellStyleXfs>
  <cellXfs count="2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4" fontId="1" fillId="0" borderId="0" pivotButton="0" quotePrefix="0" xfId="0"/>
    <xf numFmtId="164" fontId="0" fillId="0" borderId="0" pivotButton="0" quotePrefix="0" xfId="0"/>
    <xf numFmtId="14" fontId="0" fillId="0" borderId="0" pivotButton="0" quotePrefix="0" xfId="0"/>
    <xf numFmtId="4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</cellXfs>
  <cellStyles count="5">
    <cellStyle name="Normal" xfId="0" builtinId="0"/>
    <cellStyle name="Normal 2" xfId="1"/>
    <cellStyle name="HeaderCellStyle" xfId="2"/>
    <cellStyle name="GroupedCellStyle" xfId="3"/>
    <cellStyle name="TotalCellStyle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40"/>
  <sheetViews>
    <sheetView topLeftCell="A117" zoomScale="130" zoomScaleNormal="130" workbookViewId="0">
      <selection activeCell="E115" sqref="E115:E142"/>
    </sheetView>
    <sheetView workbookViewId="1">
      <selection activeCell="A1" sqref="A1"/>
    </sheetView>
  </sheetViews>
  <sheetFormatPr baseColWidth="8" defaultRowHeight="14.5"/>
  <cols>
    <col width="13.90625" customWidth="1" style="6" min="1" max="1"/>
    <col width="9.81640625" bestFit="1" customWidth="1" style="9" min="2" max="2"/>
    <col width="8.08984375" bestFit="1" customWidth="1" style="11" min="3" max="3"/>
    <col width="12.36328125" bestFit="1" customWidth="1" style="2" min="4" max="4"/>
    <col width="4.81640625" bestFit="1" customWidth="1" style="9" min="5" max="5"/>
    <col width="5" bestFit="1" customWidth="1" style="9" min="6" max="6"/>
  </cols>
  <sheetData>
    <row r="1" customFormat="1" s="1">
      <c r="A1" s="7" t="inlineStr">
        <is>
          <t>Date</t>
        </is>
      </c>
      <c r="B1" s="8" t="inlineStr">
        <is>
          <t>Ticket</t>
        </is>
      </c>
      <c r="C1" s="10" t="inlineStr">
        <is>
          <t>Block</t>
        </is>
      </c>
      <c r="D1" s="3" t="inlineStr">
        <is>
          <t>Variety</t>
        </is>
      </c>
      <c r="E1" s="8" t="inlineStr">
        <is>
          <t>Bins</t>
        </is>
      </c>
      <c r="F1" s="8" t="inlineStr">
        <is>
          <t>FB</t>
        </is>
      </c>
    </row>
    <row r="2">
      <c r="A2" s="6" t="n">
        <v>46034</v>
      </c>
      <c r="B2" s="9" t="n">
        <v>383289</v>
      </c>
      <c r="C2" s="11" t="n">
        <v>1</v>
      </c>
      <c r="D2" s="2" t="inlineStr">
        <is>
          <t>CLEMENTINES</t>
        </is>
      </c>
      <c r="E2" s="9" t="n">
        <v>48</v>
      </c>
      <c r="F2" s="9" t="n">
        <v>768</v>
      </c>
      <c r="K2" s="2" t="n"/>
    </row>
    <row r="3">
      <c r="A3" s="6" t="n">
        <v>46034</v>
      </c>
      <c r="B3" s="9" t="n">
        <v>383301</v>
      </c>
      <c r="C3" s="11" t="n">
        <v>1</v>
      </c>
      <c r="D3" s="2" t="inlineStr">
        <is>
          <t>CLEMENTINES</t>
        </is>
      </c>
      <c r="E3" s="9" t="n">
        <v>48</v>
      </c>
      <c r="F3" s="9" t="n">
        <v>768</v>
      </c>
      <c r="K3" s="2" t="n"/>
    </row>
    <row r="4">
      <c r="A4" s="6" t="n">
        <v>46035</v>
      </c>
      <c r="B4" s="9" t="n">
        <v>383370</v>
      </c>
      <c r="C4" s="11" t="n">
        <v>1</v>
      </c>
      <c r="D4" s="2" t="inlineStr">
        <is>
          <t>CLEMENTINES</t>
        </is>
      </c>
      <c r="E4" s="9" t="n">
        <v>48</v>
      </c>
      <c r="F4" s="9" t="n">
        <v>768</v>
      </c>
      <c r="K4" s="2" t="n"/>
    </row>
    <row r="5">
      <c r="A5" s="6" t="n">
        <v>46035</v>
      </c>
      <c r="B5" s="9" t="n">
        <v>383406</v>
      </c>
      <c r="C5" s="11" t="n">
        <v>1</v>
      </c>
      <c r="D5" s="2" t="inlineStr">
        <is>
          <t>CLEMENTINES</t>
        </is>
      </c>
      <c r="E5" s="9" t="n">
        <v>48</v>
      </c>
      <c r="F5" s="9" t="n">
        <v>768</v>
      </c>
      <c r="K5" s="2" t="n"/>
    </row>
    <row r="6">
      <c r="A6" s="6" t="n">
        <v>46039</v>
      </c>
      <c r="B6" s="9" t="n">
        <v>300244</v>
      </c>
      <c r="C6" s="11" t="n">
        <v>12</v>
      </c>
      <c r="D6" s="2" t="inlineStr">
        <is>
          <t>LEMONS</t>
        </is>
      </c>
      <c r="E6" s="9" t="n">
        <v>24</v>
      </c>
      <c r="F6" s="9" t="n">
        <v>384</v>
      </c>
      <c r="K6" s="2" t="n"/>
    </row>
    <row r="7">
      <c r="A7" s="6" t="n">
        <v>46038</v>
      </c>
      <c r="B7" s="9" t="n">
        <v>300208</v>
      </c>
      <c r="C7" s="11" t="inlineStr">
        <is>
          <t>16L</t>
        </is>
      </c>
      <c r="D7" s="2" t="inlineStr">
        <is>
          <t>LEMONS</t>
        </is>
      </c>
      <c r="E7" s="9" t="n">
        <v>50</v>
      </c>
      <c r="F7" s="9" t="n">
        <v>800</v>
      </c>
      <c r="K7" s="2" t="n"/>
    </row>
    <row r="8">
      <c r="A8" s="6" t="n">
        <v>46038</v>
      </c>
      <c r="B8" s="9" t="n">
        <v>300231</v>
      </c>
      <c r="C8" s="11" t="inlineStr">
        <is>
          <t>16L</t>
        </is>
      </c>
      <c r="D8" s="2" t="inlineStr">
        <is>
          <t>LEMONS</t>
        </is>
      </c>
      <c r="E8" s="9" t="n">
        <v>42</v>
      </c>
      <c r="F8" s="9" t="n">
        <v>672</v>
      </c>
      <c r="K8" s="2" t="n"/>
    </row>
    <row r="9">
      <c r="A9" s="6" t="n">
        <v>46036</v>
      </c>
      <c r="B9" s="9" t="n">
        <v>300035</v>
      </c>
      <c r="C9" s="11" t="n">
        <v>1</v>
      </c>
      <c r="D9" s="2" t="inlineStr">
        <is>
          <t>CLEMENTINES</t>
        </is>
      </c>
      <c r="E9" s="9" t="n">
        <v>21</v>
      </c>
      <c r="F9" s="9" t="n">
        <v>336</v>
      </c>
      <c r="K9" s="2" t="n"/>
    </row>
    <row r="10">
      <c r="A10" s="6" t="n">
        <v>46036</v>
      </c>
      <c r="B10" s="9" t="n">
        <v>300007</v>
      </c>
      <c r="C10" s="11" t="inlineStr">
        <is>
          <t>2B</t>
        </is>
      </c>
      <c r="D10" s="2" t="inlineStr">
        <is>
          <t>CLEMENTINES</t>
        </is>
      </c>
      <c r="E10" s="9" t="n">
        <v>48</v>
      </c>
      <c r="F10" s="9" t="n">
        <v>768</v>
      </c>
      <c r="K10" s="2" t="n"/>
    </row>
    <row r="11">
      <c r="A11" s="6" t="n">
        <v>46036</v>
      </c>
      <c r="B11" s="9" t="n">
        <v>300034</v>
      </c>
      <c r="C11" s="11" t="inlineStr">
        <is>
          <t>2B</t>
        </is>
      </c>
      <c r="D11" s="2" t="inlineStr">
        <is>
          <t>CLEMENTINES</t>
        </is>
      </c>
      <c r="E11" s="9" t="n">
        <v>27</v>
      </c>
      <c r="F11" s="9" t="n">
        <v>432</v>
      </c>
      <c r="K11" s="2" t="n"/>
    </row>
    <row r="12">
      <c r="A12" s="6" t="n">
        <v>46037</v>
      </c>
      <c r="B12" s="9" t="n">
        <v>300119</v>
      </c>
      <c r="C12" s="11" t="inlineStr">
        <is>
          <t>2B</t>
        </is>
      </c>
      <c r="D12" s="2" t="inlineStr">
        <is>
          <t>CLEMENTINES</t>
        </is>
      </c>
      <c r="E12" s="9" t="n">
        <v>48</v>
      </c>
      <c r="F12" s="9" t="n">
        <v>768</v>
      </c>
      <c r="K12" s="2" t="n"/>
    </row>
    <row r="13">
      <c r="A13" s="6" t="n">
        <v>46037</v>
      </c>
      <c r="B13" s="9" t="n">
        <v>300138</v>
      </c>
      <c r="C13" s="11" t="inlineStr">
        <is>
          <t>2B</t>
        </is>
      </c>
      <c r="D13" s="2" t="inlineStr">
        <is>
          <t>CLEMENTINES</t>
        </is>
      </c>
      <c r="E13" s="9" t="n">
        <v>26.5</v>
      </c>
      <c r="F13" s="9" t="n">
        <v>424</v>
      </c>
      <c r="K13" s="2" t="n"/>
    </row>
    <row r="14">
      <c r="A14" s="6" t="n">
        <v>46045</v>
      </c>
      <c r="B14" s="9" t="n">
        <v>300705</v>
      </c>
      <c r="C14" s="11" t="n">
        <v>11</v>
      </c>
      <c r="D14" s="2" t="inlineStr">
        <is>
          <t>MURCOTTS</t>
        </is>
      </c>
      <c r="E14" s="9" t="n">
        <v>48</v>
      </c>
      <c r="F14" s="9" t="n">
        <v>768</v>
      </c>
      <c r="K14" s="2" t="n"/>
    </row>
    <row r="15">
      <c r="A15" s="6" t="n">
        <v>46045</v>
      </c>
      <c r="B15" s="9" t="n">
        <v>300734</v>
      </c>
      <c r="C15" s="11" t="n">
        <v>11</v>
      </c>
      <c r="D15" s="2" t="inlineStr">
        <is>
          <t>MURCOTTS</t>
        </is>
      </c>
      <c r="E15" s="9" t="n">
        <v>27</v>
      </c>
      <c r="F15" s="9" t="n">
        <v>432</v>
      </c>
      <c r="K15" s="2" t="n"/>
    </row>
    <row r="16">
      <c r="A16" s="6" t="n">
        <v>46048</v>
      </c>
      <c r="B16" s="9" t="n">
        <v>300738</v>
      </c>
      <c r="C16" s="11" t="n">
        <v>11</v>
      </c>
      <c r="D16" s="2" t="inlineStr">
        <is>
          <t>MURCOTTS</t>
        </is>
      </c>
      <c r="E16" s="9" t="n">
        <v>50</v>
      </c>
      <c r="F16" s="9" t="n">
        <v>800</v>
      </c>
      <c r="K16" s="2" t="n"/>
    </row>
    <row r="17">
      <c r="A17" s="6" t="n">
        <v>46048</v>
      </c>
      <c r="B17" s="9" t="n">
        <v>300819</v>
      </c>
      <c r="C17" s="11" t="n">
        <v>11</v>
      </c>
      <c r="D17" s="2" t="inlineStr">
        <is>
          <t>MURCOTTS</t>
        </is>
      </c>
      <c r="E17" s="9" t="n">
        <v>48</v>
      </c>
      <c r="F17" s="9" t="n">
        <v>768</v>
      </c>
      <c r="K17" s="2" t="n"/>
    </row>
    <row r="18">
      <c r="A18" s="6" t="n">
        <v>46048</v>
      </c>
      <c r="B18" s="9" t="n">
        <v>300836</v>
      </c>
      <c r="C18" s="11" t="n">
        <v>11</v>
      </c>
      <c r="D18" s="2" t="inlineStr">
        <is>
          <t>MURCOTTS</t>
        </is>
      </c>
      <c r="E18" s="9" t="n">
        <v>48</v>
      </c>
      <c r="F18" s="9" t="n">
        <v>768</v>
      </c>
      <c r="K18" s="2" t="n"/>
    </row>
    <row r="19">
      <c r="A19" s="6" t="n">
        <v>46048</v>
      </c>
      <c r="B19" s="9" t="n">
        <v>300854</v>
      </c>
      <c r="C19" s="11" t="n">
        <v>11</v>
      </c>
      <c r="D19" s="2" t="inlineStr">
        <is>
          <t>MURCOTTS</t>
        </is>
      </c>
      <c r="E19" s="9" t="n">
        <v>48</v>
      </c>
      <c r="F19" s="9" t="n">
        <v>768</v>
      </c>
      <c r="K19" s="2" t="n"/>
    </row>
    <row r="20">
      <c r="A20" s="6" t="n">
        <v>46053</v>
      </c>
      <c r="B20" s="9" t="n">
        <v>741920</v>
      </c>
      <c r="C20" s="11" t="inlineStr">
        <is>
          <t>13W</t>
        </is>
      </c>
      <c r="D20" s="2" t="inlineStr">
        <is>
          <t>NAVEL</t>
        </is>
      </c>
      <c r="E20" s="9" t="n">
        <v>50</v>
      </c>
      <c r="F20" s="9" t="n">
        <v>800</v>
      </c>
      <c r="K20" s="2" t="n"/>
    </row>
    <row r="21">
      <c r="A21" s="6" t="n">
        <v>46053</v>
      </c>
      <c r="B21" s="9" t="n">
        <v>741921</v>
      </c>
      <c r="C21" s="11" t="inlineStr">
        <is>
          <t>13W</t>
        </is>
      </c>
      <c r="D21" s="2" t="inlineStr">
        <is>
          <t>NAVEL</t>
        </is>
      </c>
      <c r="E21" s="9" t="n">
        <v>21</v>
      </c>
      <c r="F21" s="9" t="n">
        <v>336</v>
      </c>
      <c r="K21" s="2" t="n"/>
    </row>
    <row r="22">
      <c r="A22" s="6" t="n">
        <v>46053</v>
      </c>
      <c r="B22" s="9" t="n">
        <v>741927</v>
      </c>
      <c r="C22" s="11" t="inlineStr">
        <is>
          <t>13W</t>
        </is>
      </c>
      <c r="D22" s="2" t="inlineStr">
        <is>
          <t>NAVEL</t>
        </is>
      </c>
      <c r="E22" s="9" t="n">
        <v>46</v>
      </c>
      <c r="F22" s="9" t="n">
        <v>736</v>
      </c>
      <c r="K22" s="2" t="n"/>
    </row>
    <row r="23">
      <c r="A23" s="6" t="n">
        <v>46053</v>
      </c>
      <c r="B23" s="9" t="n">
        <v>741928</v>
      </c>
      <c r="C23" s="11" t="inlineStr">
        <is>
          <t>13W</t>
        </is>
      </c>
      <c r="D23" s="2" t="inlineStr">
        <is>
          <t>NAVEL</t>
        </is>
      </c>
      <c r="E23" s="9" t="n">
        <v>4</v>
      </c>
      <c r="F23" s="9" t="n">
        <v>64</v>
      </c>
      <c r="K23" s="2" t="n"/>
    </row>
    <row r="24">
      <c r="A24" s="6" t="n">
        <v>46053</v>
      </c>
      <c r="B24" s="9" t="n">
        <v>741930</v>
      </c>
      <c r="C24" s="11" t="inlineStr">
        <is>
          <t>13W</t>
        </is>
      </c>
      <c r="D24" s="2" t="inlineStr">
        <is>
          <t>NAVEL</t>
        </is>
      </c>
      <c r="E24" s="9" t="n">
        <v>38</v>
      </c>
      <c r="F24" s="9" t="n">
        <v>608</v>
      </c>
      <c r="K24" s="2" t="n"/>
    </row>
    <row r="25">
      <c r="A25" s="6" t="n">
        <v>46053</v>
      </c>
      <c r="B25" s="9" t="n">
        <v>741898</v>
      </c>
      <c r="C25" s="11" t="inlineStr">
        <is>
          <t>18W</t>
        </is>
      </c>
      <c r="D25" s="2" t="inlineStr">
        <is>
          <t>NAVEL</t>
        </is>
      </c>
      <c r="E25" s="9" t="n">
        <v>26</v>
      </c>
      <c r="F25" s="9" t="n">
        <v>416</v>
      </c>
      <c r="K25" s="2" t="n"/>
    </row>
    <row r="26">
      <c r="A26" s="6" t="n">
        <v>46053</v>
      </c>
      <c r="B26" s="9" t="n">
        <v>741899</v>
      </c>
      <c r="C26" s="11" t="inlineStr">
        <is>
          <t>18W</t>
        </is>
      </c>
      <c r="D26" s="2" t="inlineStr">
        <is>
          <t>NAVEL</t>
        </is>
      </c>
      <c r="E26" s="9" t="n">
        <v>24</v>
      </c>
      <c r="F26" s="9" t="n">
        <v>384</v>
      </c>
      <c r="K26" s="2" t="n"/>
    </row>
    <row r="27">
      <c r="A27" s="6" t="n">
        <v>46053</v>
      </c>
      <c r="B27" s="9" t="n">
        <v>741900</v>
      </c>
      <c r="C27" s="11" t="inlineStr">
        <is>
          <t>18W</t>
        </is>
      </c>
      <c r="D27" s="2" t="inlineStr">
        <is>
          <t>NAVEL</t>
        </is>
      </c>
      <c r="E27" s="9" t="n">
        <v>50</v>
      </c>
      <c r="F27" s="9" t="n">
        <v>800</v>
      </c>
      <c r="K27" s="2" t="n"/>
    </row>
    <row r="28">
      <c r="A28" s="6" t="n">
        <v>46053</v>
      </c>
      <c r="B28" s="9" t="n">
        <v>741911</v>
      </c>
      <c r="C28" s="11" t="inlineStr">
        <is>
          <t>18W</t>
        </is>
      </c>
      <c r="D28" s="2" t="inlineStr">
        <is>
          <t>NAVEL</t>
        </is>
      </c>
      <c r="E28" s="9" t="n">
        <v>50</v>
      </c>
      <c r="F28" s="9" t="n">
        <v>800</v>
      </c>
      <c r="K28" s="2" t="n"/>
    </row>
    <row r="29">
      <c r="A29" s="6" t="n">
        <v>46053</v>
      </c>
      <c r="B29" s="9" t="n">
        <v>741916</v>
      </c>
      <c r="C29" s="11" t="inlineStr">
        <is>
          <t>18W</t>
        </is>
      </c>
      <c r="D29" s="2" t="inlineStr">
        <is>
          <t>NAVEL</t>
        </is>
      </c>
      <c r="E29" s="9" t="n">
        <v>50</v>
      </c>
      <c r="F29" s="9" t="n">
        <v>800</v>
      </c>
      <c r="K29" s="2" t="n"/>
    </row>
    <row r="30">
      <c r="A30" s="6" t="n">
        <v>46053</v>
      </c>
      <c r="B30" s="9" t="n">
        <v>741922</v>
      </c>
      <c r="C30" s="11" t="inlineStr">
        <is>
          <t>18W</t>
        </is>
      </c>
      <c r="D30" s="2" t="inlineStr">
        <is>
          <t>NAVEL</t>
        </is>
      </c>
      <c r="E30" s="9" t="n">
        <v>29</v>
      </c>
      <c r="F30" s="9" t="n">
        <v>464</v>
      </c>
      <c r="K30" s="2" t="n"/>
    </row>
    <row r="31">
      <c r="A31" s="6" t="n">
        <v>46053</v>
      </c>
      <c r="B31" s="9" t="n">
        <v>741931</v>
      </c>
      <c r="C31" s="11" t="inlineStr">
        <is>
          <t>18W</t>
        </is>
      </c>
      <c r="D31" s="2" t="inlineStr">
        <is>
          <t>NAVEL</t>
        </is>
      </c>
      <c r="E31" s="9" t="n">
        <v>11</v>
      </c>
      <c r="F31" s="9" t="n">
        <v>176</v>
      </c>
      <c r="K31" s="2" t="n"/>
    </row>
    <row r="32">
      <c r="A32" s="6" t="n">
        <v>46049</v>
      </c>
      <c r="B32" s="9" t="n">
        <v>300891</v>
      </c>
      <c r="C32" s="11" t="n">
        <v>11</v>
      </c>
      <c r="D32" s="2" t="inlineStr">
        <is>
          <t>MURCOTTS</t>
        </is>
      </c>
      <c r="E32" s="9" t="n">
        <v>48</v>
      </c>
      <c r="F32" s="9" t="n">
        <v>768</v>
      </c>
      <c r="K32" s="2" t="n"/>
    </row>
    <row r="33">
      <c r="A33" s="6" t="n">
        <v>46049</v>
      </c>
      <c r="B33" s="9" t="n">
        <v>300911</v>
      </c>
      <c r="C33" s="11" t="n">
        <v>11</v>
      </c>
      <c r="D33" s="2" t="inlineStr">
        <is>
          <t>MURCOTTS</t>
        </is>
      </c>
      <c r="E33" s="9" t="n">
        <v>48</v>
      </c>
      <c r="F33" s="9" t="n">
        <v>768</v>
      </c>
      <c r="K33" s="2" t="n"/>
    </row>
    <row r="34">
      <c r="A34" s="6" t="n">
        <v>46049</v>
      </c>
      <c r="B34" s="9" t="n">
        <v>300943</v>
      </c>
      <c r="C34" s="11" t="n">
        <v>11</v>
      </c>
      <c r="D34" s="2" t="inlineStr">
        <is>
          <t>MURCOTTS</t>
        </is>
      </c>
      <c r="E34" s="9" t="n">
        <v>47</v>
      </c>
      <c r="F34" s="9" t="n">
        <v>752</v>
      </c>
      <c r="K34" s="2" t="n"/>
    </row>
    <row r="35">
      <c r="A35" s="6" t="n">
        <v>46049</v>
      </c>
      <c r="B35" s="9" t="n">
        <v>300946</v>
      </c>
      <c r="C35" s="11" t="n">
        <v>11</v>
      </c>
      <c r="D35" s="2" t="inlineStr">
        <is>
          <t>MURCOTTS</t>
        </is>
      </c>
      <c r="E35" s="9" t="n">
        <v>48</v>
      </c>
      <c r="F35" s="9" t="n">
        <v>768</v>
      </c>
      <c r="K35" s="2" t="n"/>
    </row>
    <row r="36">
      <c r="A36" s="6" t="n">
        <v>46050</v>
      </c>
      <c r="B36" s="9" t="n">
        <v>301038</v>
      </c>
      <c r="C36" s="11" t="n">
        <v>11</v>
      </c>
      <c r="D36" s="2" t="inlineStr">
        <is>
          <t>MURCOTTS</t>
        </is>
      </c>
      <c r="E36" s="9" t="n">
        <v>30</v>
      </c>
      <c r="F36" s="9" t="n">
        <v>480</v>
      </c>
      <c r="K36" s="2" t="n"/>
    </row>
    <row r="37">
      <c r="A37" s="6" t="n">
        <v>46050</v>
      </c>
      <c r="B37" s="9" t="n">
        <v>300969</v>
      </c>
      <c r="C37" s="11" t="inlineStr">
        <is>
          <t>2A</t>
        </is>
      </c>
      <c r="D37" s="2" t="inlineStr">
        <is>
          <t>MURCOTTS</t>
        </is>
      </c>
      <c r="E37" s="9" t="n">
        <v>48</v>
      </c>
      <c r="F37" s="9" t="n">
        <v>768</v>
      </c>
      <c r="K37" s="2" t="n"/>
    </row>
    <row r="38">
      <c r="A38" s="6" t="n">
        <v>46050</v>
      </c>
      <c r="B38" s="9" t="n">
        <v>300986</v>
      </c>
      <c r="C38" s="11" t="inlineStr">
        <is>
          <t>2A</t>
        </is>
      </c>
      <c r="D38" s="2" t="inlineStr">
        <is>
          <t>MURCOTTS</t>
        </is>
      </c>
      <c r="E38" s="9" t="n">
        <v>48</v>
      </c>
      <c r="F38" s="9" t="n">
        <v>768</v>
      </c>
      <c r="K38" s="2" t="n"/>
    </row>
    <row r="39">
      <c r="A39" s="6" t="n">
        <v>46050</v>
      </c>
      <c r="B39" s="9" t="n">
        <v>301034</v>
      </c>
      <c r="C39" s="11" t="inlineStr">
        <is>
          <t>2A</t>
        </is>
      </c>
      <c r="D39" s="2" t="inlineStr">
        <is>
          <t>MURCOTTS</t>
        </is>
      </c>
      <c r="E39" s="9" t="n">
        <v>48</v>
      </c>
      <c r="F39" s="9" t="n">
        <v>768</v>
      </c>
      <c r="K39" s="2" t="n"/>
    </row>
    <row r="40">
      <c r="A40" s="6" t="n">
        <v>46050</v>
      </c>
      <c r="B40" s="9" t="n">
        <v>301039</v>
      </c>
      <c r="C40" s="11" t="inlineStr">
        <is>
          <t>2A</t>
        </is>
      </c>
      <c r="D40" s="2" t="inlineStr">
        <is>
          <t>MURCOTTS</t>
        </is>
      </c>
      <c r="E40" s="9" t="n">
        <v>13</v>
      </c>
      <c r="F40" s="9" t="n">
        <v>208</v>
      </c>
      <c r="K40" s="2" t="n"/>
    </row>
    <row r="41">
      <c r="A41" s="6" t="n">
        <v>46051</v>
      </c>
      <c r="B41" s="9" t="n">
        <v>301075</v>
      </c>
      <c r="C41" s="11" t="inlineStr">
        <is>
          <t>2A</t>
        </is>
      </c>
      <c r="D41" s="2" t="inlineStr">
        <is>
          <t>MURCOTTS</t>
        </is>
      </c>
      <c r="E41" s="9" t="n">
        <v>48</v>
      </c>
      <c r="F41" s="9" t="n">
        <v>768</v>
      </c>
      <c r="K41" s="2" t="n"/>
    </row>
    <row r="42">
      <c r="A42" s="6" t="n">
        <v>46051</v>
      </c>
      <c r="B42" s="9" t="n">
        <v>301092</v>
      </c>
      <c r="C42" s="11" t="inlineStr">
        <is>
          <t>2A</t>
        </is>
      </c>
      <c r="D42" s="2" t="inlineStr">
        <is>
          <t>MURCOTTS</t>
        </is>
      </c>
      <c r="E42" s="9" t="n">
        <v>38</v>
      </c>
      <c r="F42" s="9" t="n">
        <v>608</v>
      </c>
      <c r="K42" s="2" t="n"/>
    </row>
    <row r="43">
      <c r="A43" s="6" t="n">
        <v>45962</v>
      </c>
      <c r="B43" s="9" t="n">
        <v>378847</v>
      </c>
      <c r="C43" s="11" t="inlineStr">
        <is>
          <t>16L</t>
        </is>
      </c>
      <c r="D43" s="2" t="inlineStr">
        <is>
          <t>LEMONS</t>
        </is>
      </c>
      <c r="E43" s="9" t="n">
        <v>50</v>
      </c>
      <c r="F43" s="9" t="n">
        <v>800</v>
      </c>
      <c r="K43" s="2" t="n"/>
    </row>
    <row r="44">
      <c r="A44" s="6" t="n">
        <v>45962</v>
      </c>
      <c r="B44" s="9" t="n">
        <v>378860</v>
      </c>
      <c r="C44" s="11" t="inlineStr">
        <is>
          <t>16L</t>
        </is>
      </c>
      <c r="D44" s="2" t="inlineStr">
        <is>
          <t>LEMONS</t>
        </is>
      </c>
      <c r="E44" s="9" t="n">
        <v>16</v>
      </c>
      <c r="F44" s="9" t="n">
        <v>256</v>
      </c>
      <c r="K44" s="2" t="n"/>
    </row>
    <row r="45">
      <c r="A45" s="6" t="n">
        <v>45964</v>
      </c>
      <c r="B45" s="9" t="n">
        <v>378914</v>
      </c>
      <c r="C45" s="11" t="inlineStr">
        <is>
          <t>16L</t>
        </is>
      </c>
      <c r="D45" s="2" t="inlineStr">
        <is>
          <t>LEMONS</t>
        </is>
      </c>
      <c r="E45" s="9" t="n">
        <v>50</v>
      </c>
      <c r="F45" s="9" t="n">
        <v>800</v>
      </c>
      <c r="K45" s="2" t="n"/>
    </row>
    <row r="46">
      <c r="A46" s="6" t="n">
        <v>45964</v>
      </c>
      <c r="B46" s="9" t="n">
        <v>378919</v>
      </c>
      <c r="C46" s="11" t="inlineStr">
        <is>
          <t>16L</t>
        </is>
      </c>
      <c r="D46" s="2" t="inlineStr">
        <is>
          <t>LEMONS</t>
        </is>
      </c>
      <c r="E46" s="9" t="n">
        <v>44</v>
      </c>
      <c r="F46" s="9" t="n">
        <v>704</v>
      </c>
      <c r="K46" s="2" t="n"/>
    </row>
    <row r="47">
      <c r="A47" s="6" t="n">
        <v>45971</v>
      </c>
      <c r="B47" s="9" t="n">
        <v>379445</v>
      </c>
      <c r="C47" s="11" t="n">
        <v>1</v>
      </c>
      <c r="D47" s="2" t="inlineStr">
        <is>
          <t>CLEMENTINES</t>
        </is>
      </c>
      <c r="E47" s="9" t="n">
        <v>48</v>
      </c>
      <c r="F47" s="9" t="n">
        <v>768</v>
      </c>
      <c r="K47" s="2" t="n"/>
    </row>
    <row r="48">
      <c r="A48" s="6" t="n">
        <v>45971</v>
      </c>
      <c r="B48" s="9" t="n">
        <v>379449</v>
      </c>
      <c r="C48" s="11" t="n">
        <v>1</v>
      </c>
      <c r="D48" s="2" t="inlineStr">
        <is>
          <t>CLEMENTINES</t>
        </is>
      </c>
      <c r="E48" s="9" t="n">
        <v>48</v>
      </c>
      <c r="F48" s="9" t="n">
        <v>768</v>
      </c>
      <c r="K48" s="2" t="n"/>
    </row>
    <row r="49">
      <c r="A49" s="6" t="n">
        <v>45972</v>
      </c>
      <c r="B49" s="9" t="n">
        <v>379505</v>
      </c>
      <c r="C49" s="11" t="n">
        <v>1</v>
      </c>
      <c r="D49" s="2" t="inlineStr">
        <is>
          <t>CLEMENTINES</t>
        </is>
      </c>
      <c r="E49" s="9" t="n">
        <v>48</v>
      </c>
      <c r="F49" s="9" t="n">
        <v>768</v>
      </c>
      <c r="K49" s="2" t="n"/>
    </row>
    <row r="50">
      <c r="A50" s="6" t="n">
        <v>45972</v>
      </c>
      <c r="B50" s="9" t="n">
        <v>379536</v>
      </c>
      <c r="C50" s="11" t="n">
        <v>1</v>
      </c>
      <c r="D50" s="2" t="inlineStr">
        <is>
          <t>CLEMENTINES</t>
        </is>
      </c>
      <c r="E50" s="9" t="n">
        <v>48</v>
      </c>
      <c r="F50" s="9" t="n">
        <v>768</v>
      </c>
      <c r="K50" s="2" t="n"/>
    </row>
    <row r="51">
      <c r="A51" s="6" t="n">
        <v>45973</v>
      </c>
      <c r="B51" s="9" t="n">
        <v>379583</v>
      </c>
      <c r="C51" s="11" t="n">
        <v>1</v>
      </c>
      <c r="D51" s="2" t="inlineStr">
        <is>
          <t>CLEMENTINES</t>
        </is>
      </c>
      <c r="E51" s="9" t="n">
        <v>17</v>
      </c>
      <c r="F51" s="9" t="n">
        <v>272</v>
      </c>
      <c r="K51" s="2" t="n"/>
    </row>
    <row r="52">
      <c r="A52" s="6" t="n">
        <v>45973</v>
      </c>
      <c r="B52" s="9" t="n">
        <v>379584</v>
      </c>
      <c r="C52" s="11" t="inlineStr">
        <is>
          <t>2B</t>
        </is>
      </c>
      <c r="D52" s="2" t="inlineStr">
        <is>
          <t>CLEMENTINES</t>
        </is>
      </c>
      <c r="E52" s="9" t="n">
        <v>31</v>
      </c>
      <c r="F52" s="9" t="n">
        <v>496</v>
      </c>
      <c r="K52" s="2" t="n"/>
    </row>
    <row r="53">
      <c r="A53" s="6" t="n">
        <v>45973</v>
      </c>
      <c r="B53" s="9" t="n">
        <v>379593</v>
      </c>
      <c r="C53" s="11" t="inlineStr">
        <is>
          <t>2B</t>
        </is>
      </c>
      <c r="D53" s="2" t="inlineStr">
        <is>
          <t>CLEMENTINES</t>
        </is>
      </c>
      <c r="E53" s="9" t="n">
        <v>48</v>
      </c>
      <c r="F53" s="9" t="n">
        <v>768</v>
      </c>
      <c r="K53" s="2" t="n"/>
    </row>
    <row r="54">
      <c r="A54" s="6" t="n">
        <v>45973</v>
      </c>
      <c r="B54" s="9" t="n">
        <v>379624</v>
      </c>
      <c r="C54" s="11" t="inlineStr">
        <is>
          <t>2B</t>
        </is>
      </c>
      <c r="D54" s="2" t="inlineStr">
        <is>
          <t>CLEMENTINES</t>
        </is>
      </c>
      <c r="E54" s="9" t="n">
        <v>49</v>
      </c>
      <c r="F54" s="9" t="n">
        <v>784</v>
      </c>
      <c r="K54" s="2" t="n"/>
    </row>
    <row r="55">
      <c r="A55" s="6" t="n">
        <v>45973</v>
      </c>
      <c r="B55" s="9" t="n">
        <v>379631</v>
      </c>
      <c r="C55" s="11" t="inlineStr">
        <is>
          <t>2B</t>
        </is>
      </c>
      <c r="D55" s="2" t="inlineStr">
        <is>
          <t>CLEMENTINES</t>
        </is>
      </c>
      <c r="E55" s="9" t="n">
        <v>7</v>
      </c>
      <c r="F55" s="9" t="n">
        <v>112</v>
      </c>
      <c r="K55" s="2" t="n"/>
    </row>
    <row r="56">
      <c r="A56" s="6" t="n">
        <v>45973</v>
      </c>
      <c r="B56" s="9" t="n">
        <v>379634</v>
      </c>
      <c r="C56" s="11" t="inlineStr">
        <is>
          <t>2B</t>
        </is>
      </c>
      <c r="D56" s="2" t="inlineStr">
        <is>
          <t>CLEMENTINES</t>
        </is>
      </c>
      <c r="E56" s="9" t="n">
        <v>48</v>
      </c>
      <c r="F56" s="9" t="n">
        <v>768</v>
      </c>
      <c r="K56" s="2" t="n"/>
    </row>
    <row r="57">
      <c r="A57" s="6" t="n">
        <v>45989</v>
      </c>
      <c r="B57" s="9" t="n">
        <v>380280</v>
      </c>
      <c r="C57" s="11" t="n">
        <v>12</v>
      </c>
      <c r="D57" s="2" t="inlineStr">
        <is>
          <t>LEMONS</t>
        </is>
      </c>
      <c r="E57" s="9" t="n">
        <v>26</v>
      </c>
      <c r="F57" s="9" t="n">
        <v>416</v>
      </c>
      <c r="K57" s="2" t="n"/>
    </row>
    <row r="58">
      <c r="A58" s="6" t="n">
        <v>45989</v>
      </c>
      <c r="B58" s="9" t="n">
        <v>380281</v>
      </c>
      <c r="C58" s="11" t="n">
        <v>12</v>
      </c>
      <c r="D58" s="2" t="inlineStr">
        <is>
          <t>LEMONS</t>
        </is>
      </c>
      <c r="E58" s="9" t="n">
        <v>24</v>
      </c>
      <c r="F58" s="9" t="n">
        <v>384</v>
      </c>
      <c r="K58" s="2" t="n"/>
    </row>
    <row r="59">
      <c r="A59" s="6" t="n">
        <v>45989</v>
      </c>
      <c r="B59" s="9" t="n">
        <v>380303</v>
      </c>
      <c r="C59" s="11" t="n">
        <v>12</v>
      </c>
      <c r="D59" s="2" t="inlineStr">
        <is>
          <t>LEMONS</t>
        </is>
      </c>
      <c r="E59" s="9" t="n">
        <v>26</v>
      </c>
      <c r="F59" s="9" t="n">
        <v>416</v>
      </c>
      <c r="K59" s="2" t="n"/>
    </row>
    <row r="60">
      <c r="A60" s="6" t="n">
        <v>45989</v>
      </c>
      <c r="B60" s="9" t="n">
        <v>380304</v>
      </c>
      <c r="C60" s="11" t="n">
        <v>12</v>
      </c>
      <c r="D60" s="2" t="inlineStr">
        <is>
          <t>LEMONS</t>
        </is>
      </c>
      <c r="E60" s="9" t="n">
        <v>24</v>
      </c>
      <c r="F60" s="9" t="n">
        <v>384</v>
      </c>
      <c r="K60" s="2" t="n"/>
    </row>
    <row r="61">
      <c r="A61" s="6" t="n">
        <v>45989</v>
      </c>
      <c r="B61" s="9" t="n">
        <v>380323</v>
      </c>
      <c r="C61" s="11" t="n">
        <v>12</v>
      </c>
      <c r="D61" s="2" t="inlineStr">
        <is>
          <t>LEMONS</t>
        </is>
      </c>
      <c r="E61" s="9" t="n">
        <v>50</v>
      </c>
      <c r="F61" s="9" t="n">
        <v>800</v>
      </c>
      <c r="K61" s="2" t="n"/>
    </row>
    <row r="62">
      <c r="A62" s="6" t="n">
        <v>45989</v>
      </c>
      <c r="B62" s="9" t="n">
        <v>380330</v>
      </c>
      <c r="C62" s="11" t="n">
        <v>12</v>
      </c>
      <c r="D62" s="2" t="inlineStr">
        <is>
          <t>LEMONS</t>
        </is>
      </c>
      <c r="E62" s="9" t="n">
        <v>21</v>
      </c>
      <c r="F62" s="9" t="n">
        <v>336</v>
      </c>
      <c r="K62" s="2" t="n"/>
    </row>
    <row r="63">
      <c r="A63" s="6" t="n">
        <v>45989</v>
      </c>
      <c r="B63" s="9" t="n">
        <v>380331</v>
      </c>
      <c r="C63" s="11" t="n">
        <v>12</v>
      </c>
      <c r="D63" s="2" t="inlineStr">
        <is>
          <t>LEMONS</t>
        </is>
      </c>
      <c r="E63" s="9" t="n">
        <v>29</v>
      </c>
      <c r="F63" s="9" t="n">
        <v>464</v>
      </c>
      <c r="K63" s="2" t="n"/>
    </row>
    <row r="64">
      <c r="A64" s="6" t="n">
        <v>45989</v>
      </c>
      <c r="B64" s="9" t="n">
        <v>380332</v>
      </c>
      <c r="C64" s="11" t="n">
        <v>12</v>
      </c>
      <c r="D64" s="2" t="inlineStr">
        <is>
          <t>LEMONS</t>
        </is>
      </c>
      <c r="E64" s="9" t="n">
        <v>46</v>
      </c>
      <c r="F64" s="9" t="n">
        <v>736</v>
      </c>
      <c r="K64" s="2" t="n"/>
    </row>
    <row r="65">
      <c r="A65" s="6" t="n">
        <v>45989</v>
      </c>
      <c r="B65" s="9" t="n">
        <v>380334</v>
      </c>
      <c r="C65" s="11" t="n">
        <v>12</v>
      </c>
      <c r="D65" s="2" t="inlineStr">
        <is>
          <t>LEMONS</t>
        </is>
      </c>
      <c r="E65" s="9" t="n">
        <v>45</v>
      </c>
      <c r="F65" s="9" t="n">
        <v>720</v>
      </c>
      <c r="K65" s="2" t="n"/>
    </row>
    <row r="66">
      <c r="A66" s="6" t="n">
        <v>46010</v>
      </c>
      <c r="B66" s="9" t="n">
        <v>381805</v>
      </c>
      <c r="C66" s="11" t="n">
        <v>1</v>
      </c>
      <c r="D66" s="2" t="inlineStr">
        <is>
          <t>CLEMENTINES</t>
        </is>
      </c>
      <c r="E66" s="9" t="n">
        <v>48</v>
      </c>
      <c r="F66" s="9" t="n">
        <v>768</v>
      </c>
      <c r="K66" s="2" t="n"/>
    </row>
    <row r="67">
      <c r="A67" s="6" t="n">
        <v>46010</v>
      </c>
      <c r="B67" s="9" t="n">
        <v>381833</v>
      </c>
      <c r="C67" s="11" t="n">
        <v>1</v>
      </c>
      <c r="D67" s="2" t="inlineStr">
        <is>
          <t>CLEMENTINES</t>
        </is>
      </c>
      <c r="E67" s="9" t="n">
        <v>48</v>
      </c>
      <c r="F67" s="9" t="n">
        <v>768</v>
      </c>
      <c r="K67" s="2" t="n"/>
    </row>
    <row r="68">
      <c r="A68" s="6" t="n">
        <v>46010</v>
      </c>
      <c r="B68" s="9" t="n">
        <v>381839</v>
      </c>
      <c r="C68" s="11" t="n">
        <v>1</v>
      </c>
      <c r="D68" s="2" t="inlineStr">
        <is>
          <t>CLEMENTINES</t>
        </is>
      </c>
      <c r="E68" s="9" t="n">
        <v>48</v>
      </c>
      <c r="F68" s="9" t="n">
        <v>768</v>
      </c>
    </row>
    <row r="69">
      <c r="A69" s="6" t="n">
        <v>46011</v>
      </c>
      <c r="B69" s="9" t="n">
        <v>381886</v>
      </c>
      <c r="C69" s="11" t="inlineStr">
        <is>
          <t>2B</t>
        </is>
      </c>
      <c r="D69" s="2" t="inlineStr">
        <is>
          <t>CLEMENTINES</t>
        </is>
      </c>
      <c r="E69" s="9" t="n">
        <v>48</v>
      </c>
      <c r="F69" s="9" t="n">
        <v>768</v>
      </c>
    </row>
    <row r="70">
      <c r="A70" s="6" t="n">
        <v>46011</v>
      </c>
      <c r="B70" s="9" t="n">
        <v>381909</v>
      </c>
      <c r="C70" s="11" t="inlineStr">
        <is>
          <t>2B</t>
        </is>
      </c>
      <c r="D70" s="2" t="inlineStr">
        <is>
          <t>CLEMENTINES</t>
        </is>
      </c>
      <c r="E70" s="9" t="n">
        <v>48</v>
      </c>
      <c r="F70" s="9" t="n">
        <v>768</v>
      </c>
    </row>
    <row r="71">
      <c r="A71" s="6" t="n">
        <v>46083</v>
      </c>
      <c r="B71" s="9" t="n">
        <v>17263</v>
      </c>
      <c r="C71" s="11" t="inlineStr">
        <is>
          <t>3</t>
        </is>
      </c>
      <c r="D71" s="2" t="inlineStr">
        <is>
          <t>NAVEL</t>
        </is>
      </c>
      <c r="E71" s="9" t="n">
        <v>50</v>
      </c>
      <c r="F71" s="9" t="n">
        <v>800</v>
      </c>
    </row>
    <row r="72">
      <c r="A72" s="6" t="n">
        <v>46083</v>
      </c>
      <c r="B72" s="9" t="n">
        <v>17270</v>
      </c>
      <c r="C72" s="11" t="inlineStr">
        <is>
          <t>3</t>
        </is>
      </c>
      <c r="D72" s="2" t="inlineStr">
        <is>
          <t>NAVEL</t>
        </is>
      </c>
      <c r="E72" s="9" t="n">
        <v>50</v>
      </c>
      <c r="F72" s="9" t="n">
        <v>800</v>
      </c>
    </row>
    <row r="73">
      <c r="A73" s="6" t="n">
        <v>46083</v>
      </c>
      <c r="B73" s="9" t="n">
        <v>17277</v>
      </c>
      <c r="C73" s="11" t="inlineStr">
        <is>
          <t>3</t>
        </is>
      </c>
      <c r="D73" s="2" t="inlineStr">
        <is>
          <t>NAVEL</t>
        </is>
      </c>
      <c r="E73" s="9" t="n">
        <v>50</v>
      </c>
      <c r="F73" s="9" t="n">
        <v>800</v>
      </c>
    </row>
    <row r="74">
      <c r="A74" s="6" t="n">
        <v>46083</v>
      </c>
      <c r="B74" s="9" t="n">
        <v>17281</v>
      </c>
      <c r="C74" s="11" t="inlineStr">
        <is>
          <t>3</t>
        </is>
      </c>
      <c r="D74" s="2" t="inlineStr">
        <is>
          <t>NAVEL</t>
        </is>
      </c>
      <c r="E74" s="9" t="n">
        <v>50</v>
      </c>
      <c r="F74" s="9" t="n">
        <v>800</v>
      </c>
    </row>
    <row r="75">
      <c r="A75" s="6" t="n">
        <v>46084</v>
      </c>
      <c r="B75" s="9" t="n">
        <v>17322</v>
      </c>
      <c r="C75" s="11" t="inlineStr">
        <is>
          <t>14W</t>
        </is>
      </c>
      <c r="D75" s="2" t="inlineStr">
        <is>
          <t>NAVEL</t>
        </is>
      </c>
      <c r="E75" s="9" t="n">
        <v>50</v>
      </c>
      <c r="F75" s="9" t="n">
        <v>800</v>
      </c>
    </row>
    <row r="76">
      <c r="A76" s="6" t="n">
        <v>46084</v>
      </c>
      <c r="B76" s="9" t="n">
        <v>17346</v>
      </c>
      <c r="C76" s="11" t="inlineStr">
        <is>
          <t>14W</t>
        </is>
      </c>
      <c r="D76" s="2" t="inlineStr">
        <is>
          <t>NAVEL</t>
        </is>
      </c>
      <c r="E76" s="9" t="n">
        <v>48</v>
      </c>
      <c r="F76" s="9" t="n">
        <v>768</v>
      </c>
    </row>
    <row r="77">
      <c r="A77" s="6" t="n">
        <v>46084</v>
      </c>
      <c r="B77" s="9" t="n">
        <v>17347</v>
      </c>
      <c r="C77" s="11" t="inlineStr">
        <is>
          <t>14W</t>
        </is>
      </c>
      <c r="D77" s="2" t="inlineStr">
        <is>
          <t>NAVEL</t>
        </is>
      </c>
      <c r="E77" s="9" t="n">
        <v>16</v>
      </c>
      <c r="F77" s="9" t="n">
        <v>256</v>
      </c>
    </row>
    <row r="78">
      <c r="A78" s="6" t="n">
        <v>45958</v>
      </c>
      <c r="B78" s="9" t="n">
        <v>13886</v>
      </c>
      <c r="C78" s="11" t="inlineStr">
        <is>
          <t>15</t>
        </is>
      </c>
      <c r="D78" s="2" t="inlineStr">
        <is>
          <t>GRAPEFRUIT</t>
        </is>
      </c>
      <c r="E78" s="9" t="n">
        <v>128</v>
      </c>
      <c r="F78" s="9" t="n">
        <v>2048</v>
      </c>
    </row>
    <row r="79">
      <c r="A79" s="6" t="n">
        <v>46036</v>
      </c>
      <c r="B79" s="9" t="n">
        <v>300035</v>
      </c>
      <c r="C79" s="11" t="inlineStr">
        <is>
          <t>1</t>
        </is>
      </c>
      <c r="D79" s="2" t="inlineStr">
        <is>
          <t>CLEMENTINES</t>
        </is>
      </c>
      <c r="E79" s="9" t="n">
        <v>21</v>
      </c>
      <c r="F79" s="9" t="n">
        <v>336</v>
      </c>
    </row>
    <row r="80">
      <c r="A80" s="6" t="n">
        <v>46036</v>
      </c>
      <c r="B80" s="9" t="n">
        <v>300006</v>
      </c>
      <c r="C80" s="11" t="inlineStr">
        <is>
          <t>16L</t>
        </is>
      </c>
      <c r="D80" s="2" t="inlineStr">
        <is>
          <t>LEMONS</t>
        </is>
      </c>
      <c r="E80" s="9" t="n">
        <v>50</v>
      </c>
      <c r="F80" s="9" t="n">
        <v>800</v>
      </c>
    </row>
    <row r="81">
      <c r="A81" s="6" t="n">
        <v>46036</v>
      </c>
      <c r="B81" s="9" t="n">
        <v>300021</v>
      </c>
      <c r="C81" s="11" t="inlineStr">
        <is>
          <t>16L</t>
        </is>
      </c>
      <c r="D81" s="2" t="inlineStr">
        <is>
          <t>LEMONS</t>
        </is>
      </c>
      <c r="E81" s="9" t="n">
        <v>50</v>
      </c>
      <c r="F81" s="9" t="n">
        <v>800</v>
      </c>
    </row>
    <row r="82">
      <c r="A82" s="6" t="n">
        <v>46036</v>
      </c>
      <c r="B82" s="9" t="n">
        <v>300031</v>
      </c>
      <c r="C82" s="11" t="inlineStr">
        <is>
          <t>16L</t>
        </is>
      </c>
      <c r="D82" s="2" t="inlineStr">
        <is>
          <t>LEMONS</t>
        </is>
      </c>
      <c r="E82" s="9" t="n">
        <v>50</v>
      </c>
      <c r="F82" s="9" t="n">
        <v>800</v>
      </c>
    </row>
    <row r="83">
      <c r="A83" s="6" t="n">
        <v>46036</v>
      </c>
      <c r="B83" s="9" t="n">
        <v>300036</v>
      </c>
      <c r="C83" s="11" t="inlineStr">
        <is>
          <t>16L</t>
        </is>
      </c>
      <c r="D83" s="2" t="inlineStr">
        <is>
          <t>LEMONS</t>
        </is>
      </c>
      <c r="E83" s="9" t="n">
        <v>50</v>
      </c>
      <c r="F83" s="9" t="n">
        <v>800</v>
      </c>
    </row>
    <row r="84">
      <c r="A84" s="6" t="n">
        <v>46036</v>
      </c>
      <c r="B84" s="9" t="n">
        <v>300040</v>
      </c>
      <c r="C84" s="11" t="inlineStr">
        <is>
          <t>16L</t>
        </is>
      </c>
      <c r="D84" s="2" t="inlineStr">
        <is>
          <t>LEMONS</t>
        </is>
      </c>
      <c r="E84" s="9" t="n">
        <v>18</v>
      </c>
      <c r="F84" s="9" t="n">
        <v>288</v>
      </c>
    </row>
    <row r="85">
      <c r="A85" s="6" t="n">
        <v>46057</v>
      </c>
      <c r="B85" s="9" t="n">
        <v>301625</v>
      </c>
      <c r="C85" s="11" t="inlineStr">
        <is>
          <t>17</t>
        </is>
      </c>
      <c r="D85" s="2" t="inlineStr">
        <is>
          <t>MURCOTTS</t>
        </is>
      </c>
      <c r="E85" s="9" t="n">
        <v>48</v>
      </c>
      <c r="F85" s="9" t="n">
        <v>768</v>
      </c>
    </row>
    <row r="86">
      <c r="A86" s="6" t="n">
        <v>46057</v>
      </c>
      <c r="B86" s="9" t="n">
        <v>301633</v>
      </c>
      <c r="C86" s="11" t="inlineStr">
        <is>
          <t>17</t>
        </is>
      </c>
      <c r="D86" s="2" t="inlineStr">
        <is>
          <t>MURCOTTS</t>
        </is>
      </c>
      <c r="E86" s="9" t="n">
        <v>48</v>
      </c>
      <c r="F86" s="9" t="n">
        <v>768</v>
      </c>
    </row>
    <row r="87">
      <c r="A87" s="6" t="n">
        <v>46057</v>
      </c>
      <c r="B87" s="9" t="n">
        <v>301680</v>
      </c>
      <c r="C87" s="11" t="inlineStr">
        <is>
          <t>17</t>
        </is>
      </c>
      <c r="D87" s="2" t="inlineStr">
        <is>
          <t>MURCOTTS</t>
        </is>
      </c>
      <c r="E87" s="9" t="n">
        <v>44</v>
      </c>
      <c r="F87" s="9" t="n">
        <v>704</v>
      </c>
    </row>
    <row r="88">
      <c r="A88" s="6" t="n">
        <v>46057</v>
      </c>
      <c r="B88" s="9" t="n">
        <v>301681</v>
      </c>
      <c r="C88" s="11" t="inlineStr">
        <is>
          <t>17</t>
        </is>
      </c>
      <c r="D88" s="2" t="inlineStr">
        <is>
          <t>MURCOTTS</t>
        </is>
      </c>
      <c r="E88" s="9" t="n">
        <v>30</v>
      </c>
      <c r="F88" s="9" t="n">
        <v>480</v>
      </c>
    </row>
    <row r="89">
      <c r="A89" s="6" t="n">
        <v>46057</v>
      </c>
      <c r="B89" s="9" t="n">
        <v>301690</v>
      </c>
      <c r="C89" s="11" t="inlineStr">
        <is>
          <t>17</t>
        </is>
      </c>
      <c r="D89" s="2" t="inlineStr">
        <is>
          <t>MURCOTTS</t>
        </is>
      </c>
      <c r="E89" s="9" t="n">
        <v>48</v>
      </c>
      <c r="F89" s="9" t="n">
        <v>768</v>
      </c>
    </row>
    <row r="90">
      <c r="A90" s="6" t="n">
        <v>46085</v>
      </c>
      <c r="B90" s="9" t="n">
        <v>18534</v>
      </c>
      <c r="C90" s="11" t="inlineStr">
        <is>
          <t>15</t>
        </is>
      </c>
      <c r="D90" s="2" t="inlineStr">
        <is>
          <t>GRAPEFRUIT</t>
        </is>
      </c>
      <c r="E90" s="9" t="n">
        <v>43</v>
      </c>
      <c r="F90" s="9" t="n">
        <v>688</v>
      </c>
    </row>
    <row r="91">
      <c r="A91" s="6" t="n">
        <v>46085</v>
      </c>
      <c r="B91" s="9" t="n">
        <v>18534</v>
      </c>
      <c r="C91" s="11" t="inlineStr">
        <is>
          <t>15</t>
        </is>
      </c>
      <c r="D91" s="2" t="inlineStr">
        <is>
          <t>GRAPEFRUIT</t>
        </is>
      </c>
      <c r="E91" s="9" t="n">
        <v>7</v>
      </c>
      <c r="F91" s="9" t="n">
        <v>112</v>
      </c>
    </row>
    <row r="92">
      <c r="A92" s="6" t="n">
        <v>46085</v>
      </c>
      <c r="B92" s="9" t="n">
        <v>18542</v>
      </c>
      <c r="C92" s="11" t="inlineStr">
        <is>
          <t>15</t>
        </is>
      </c>
      <c r="D92" s="2" t="inlineStr">
        <is>
          <t>GRAPEFRUIT</t>
        </is>
      </c>
      <c r="E92" s="9" t="n">
        <v>50</v>
      </c>
      <c r="F92" s="9" t="n">
        <v>800</v>
      </c>
    </row>
    <row r="93">
      <c r="A93" s="6" t="n">
        <v>46092</v>
      </c>
      <c r="B93" s="9" t="n">
        <v>18930</v>
      </c>
      <c r="C93" s="11" t="inlineStr">
        <is>
          <t>15</t>
        </is>
      </c>
      <c r="D93" s="2" t="inlineStr">
        <is>
          <t>GRAPEFRUIT</t>
        </is>
      </c>
      <c r="E93" s="9" t="n">
        <v>34.5</v>
      </c>
      <c r="F93" s="9" t="n">
        <v>552</v>
      </c>
    </row>
    <row r="94">
      <c r="A94" s="6" t="n">
        <v>46148</v>
      </c>
      <c r="B94" s="9" t="n">
        <v>19938</v>
      </c>
      <c r="C94" s="11" t="inlineStr">
        <is>
          <t>3</t>
        </is>
      </c>
      <c r="D94" s="2" t="inlineStr">
        <is>
          <t>NAVEL</t>
        </is>
      </c>
      <c r="E94" s="9" t="n">
        <v>50</v>
      </c>
      <c r="F94" s="9" t="n">
        <v>800</v>
      </c>
    </row>
    <row r="95">
      <c r="A95" s="6" t="n">
        <v>46148</v>
      </c>
      <c r="B95" s="9" t="n">
        <v>19951</v>
      </c>
      <c r="C95" s="11" t="inlineStr">
        <is>
          <t>3</t>
        </is>
      </c>
      <c r="D95" s="2" t="inlineStr">
        <is>
          <t>NAVEL</t>
        </is>
      </c>
      <c r="E95" s="9" t="n">
        <v>50</v>
      </c>
      <c r="F95" s="9" t="n">
        <v>800</v>
      </c>
    </row>
    <row r="96">
      <c r="A96" s="6" t="n">
        <v>46148</v>
      </c>
      <c r="B96" s="9" t="n">
        <v>19962</v>
      </c>
      <c r="C96" s="11" t="inlineStr">
        <is>
          <t>3</t>
        </is>
      </c>
      <c r="D96" s="2" t="inlineStr">
        <is>
          <t>NAVEL</t>
        </is>
      </c>
      <c r="E96" s="9" t="n">
        <v>50</v>
      </c>
      <c r="F96" s="9" t="n">
        <v>800</v>
      </c>
    </row>
    <row r="97">
      <c r="A97" s="6" t="n">
        <v>46148</v>
      </c>
      <c r="B97" s="9" t="n">
        <v>19969</v>
      </c>
      <c r="C97" s="11" t="inlineStr">
        <is>
          <t>3</t>
        </is>
      </c>
      <c r="D97" s="2" t="inlineStr">
        <is>
          <t>NAVEL</t>
        </is>
      </c>
      <c r="E97" s="9" t="n">
        <v>50</v>
      </c>
      <c r="F97" s="9" t="n">
        <v>800</v>
      </c>
    </row>
    <row r="98">
      <c r="A98" s="6" t="n">
        <v>46150</v>
      </c>
      <c r="B98" s="9" t="n">
        <v>116592</v>
      </c>
      <c r="C98" s="11" t="inlineStr">
        <is>
          <t>3</t>
        </is>
      </c>
      <c r="D98" s="2" t="inlineStr">
        <is>
          <t>NAVEL</t>
        </is>
      </c>
      <c r="E98" s="9" t="n">
        <v>50</v>
      </c>
      <c r="F98" s="9" t="n">
        <v>800</v>
      </c>
    </row>
    <row r="99">
      <c r="A99" s="6" t="n">
        <v>46150</v>
      </c>
      <c r="B99" s="9" t="n">
        <v>116595</v>
      </c>
      <c r="C99" s="11" t="inlineStr">
        <is>
          <t>3</t>
        </is>
      </c>
      <c r="D99" s="2" t="inlineStr">
        <is>
          <t>NAVEL</t>
        </is>
      </c>
      <c r="E99" s="9" t="n">
        <v>50</v>
      </c>
      <c r="F99" s="9" t="n">
        <v>800</v>
      </c>
    </row>
    <row r="100">
      <c r="A100" s="6" t="n">
        <v>46150</v>
      </c>
      <c r="B100" s="9" t="n">
        <v>116607</v>
      </c>
      <c r="C100" s="11" t="inlineStr">
        <is>
          <t>3</t>
        </is>
      </c>
      <c r="D100" s="2" t="inlineStr">
        <is>
          <t>NAVEL</t>
        </is>
      </c>
      <c r="E100" s="9" t="n">
        <v>48</v>
      </c>
      <c r="F100" s="9" t="n">
        <v>768</v>
      </c>
    </row>
    <row r="101">
      <c r="A101" s="6" t="n">
        <v>46150</v>
      </c>
      <c r="B101" s="9" t="n">
        <v>116609</v>
      </c>
      <c r="C101" s="11" t="inlineStr">
        <is>
          <t>3</t>
        </is>
      </c>
      <c r="D101" s="2" t="inlineStr">
        <is>
          <t>NAVEL</t>
        </is>
      </c>
      <c r="E101" s="9" t="n">
        <v>1.77</v>
      </c>
      <c r="F101" s="9" t="n">
        <v>28.32</v>
      </c>
    </row>
    <row r="102">
      <c r="A102" s="6" t="n">
        <v>46179</v>
      </c>
      <c r="B102" s="2" t="n">
        <v>117323</v>
      </c>
      <c r="C102" s="11" t="inlineStr">
        <is>
          <t>4</t>
        </is>
      </c>
      <c r="D102" s="2" t="inlineStr">
        <is>
          <t>VALENCIA</t>
        </is>
      </c>
      <c r="E102" s="2" t="n">
        <v>44</v>
      </c>
      <c r="F102" s="9" t="n">
        <v>704</v>
      </c>
    </row>
    <row r="103">
      <c r="A103" s="6" t="n">
        <v>46179</v>
      </c>
      <c r="B103" s="2" t="n">
        <v>117284</v>
      </c>
      <c r="C103" s="11" t="inlineStr">
        <is>
          <t>4</t>
        </is>
      </c>
      <c r="D103" s="2" t="inlineStr">
        <is>
          <t>VALENCIA</t>
        </is>
      </c>
      <c r="E103" s="2" t="n">
        <v>50</v>
      </c>
      <c r="F103" s="9" t="n">
        <v>800</v>
      </c>
    </row>
    <row r="104">
      <c r="A104" s="6" t="n">
        <v>46179</v>
      </c>
      <c r="B104" s="2" t="n">
        <v>117274</v>
      </c>
      <c r="C104" s="11" t="inlineStr">
        <is>
          <t>4</t>
        </is>
      </c>
      <c r="D104" s="2" t="inlineStr">
        <is>
          <t>VALENCIA</t>
        </is>
      </c>
      <c r="E104" s="2" t="n">
        <v>6</v>
      </c>
      <c r="F104" s="9" t="n">
        <v>96</v>
      </c>
    </row>
    <row r="105">
      <c r="A105" s="6" t="n">
        <v>46179</v>
      </c>
      <c r="B105" s="2" t="n">
        <v>117279</v>
      </c>
      <c r="C105" s="11" t="inlineStr">
        <is>
          <t>4</t>
        </is>
      </c>
      <c r="D105" s="2" t="inlineStr">
        <is>
          <t>VALENCIA</t>
        </is>
      </c>
      <c r="E105" s="2" t="n">
        <v>50</v>
      </c>
      <c r="F105" s="9" t="n">
        <v>800</v>
      </c>
    </row>
    <row r="106">
      <c r="A106" s="6" t="n">
        <v>46179</v>
      </c>
      <c r="B106" s="2" t="n">
        <v>117366</v>
      </c>
      <c r="C106" s="11" t="inlineStr">
        <is>
          <t>4</t>
        </is>
      </c>
      <c r="D106" s="2" t="inlineStr">
        <is>
          <t>VALENCIA</t>
        </is>
      </c>
      <c r="E106" s="2" t="n">
        <v>50</v>
      </c>
      <c r="F106" s="9" t="n">
        <v>800</v>
      </c>
    </row>
    <row r="107">
      <c r="A107" s="6" t="n">
        <v>46179</v>
      </c>
      <c r="B107" s="2" t="n">
        <v>117357</v>
      </c>
      <c r="C107" s="11" t="inlineStr">
        <is>
          <t>4</t>
        </is>
      </c>
      <c r="D107" s="2" t="inlineStr">
        <is>
          <t>VALENCIA</t>
        </is>
      </c>
      <c r="E107" s="2" t="n">
        <v>50</v>
      </c>
      <c r="F107" s="9" t="n">
        <v>800</v>
      </c>
    </row>
    <row r="108">
      <c r="A108" s="6" t="n">
        <v>46179</v>
      </c>
      <c r="B108" s="2" t="n">
        <v>117361</v>
      </c>
      <c r="C108" s="11" t="inlineStr">
        <is>
          <t>4</t>
        </is>
      </c>
      <c r="D108" s="2" t="inlineStr">
        <is>
          <t>VALENCIA</t>
        </is>
      </c>
      <c r="E108" s="2" t="n">
        <v>50</v>
      </c>
      <c r="F108" s="9" t="n">
        <v>800</v>
      </c>
    </row>
    <row r="109">
      <c r="A109" s="6" t="n">
        <v>46189</v>
      </c>
      <c r="B109" s="9" t="n">
        <v>117477</v>
      </c>
      <c r="C109" s="11" t="inlineStr">
        <is>
          <t>4</t>
        </is>
      </c>
      <c r="D109" s="2" t="inlineStr">
        <is>
          <t>VALENCIA</t>
        </is>
      </c>
      <c r="E109" s="9" t="n">
        <v>50</v>
      </c>
      <c r="F109" s="9" t="n">
        <v>800</v>
      </c>
    </row>
    <row r="110">
      <c r="A110" s="6" t="n">
        <v>46189</v>
      </c>
      <c r="B110" s="9" t="n">
        <v>117479</v>
      </c>
      <c r="C110" s="11" t="inlineStr">
        <is>
          <t>4</t>
        </is>
      </c>
      <c r="D110" s="2" t="inlineStr">
        <is>
          <t>VALENCIA</t>
        </is>
      </c>
      <c r="E110" s="9" t="n">
        <v>50</v>
      </c>
      <c r="F110" s="9" t="n">
        <v>800</v>
      </c>
    </row>
    <row r="111">
      <c r="A111" s="6" t="n">
        <v>46189</v>
      </c>
      <c r="B111" s="9" t="n">
        <v>117481</v>
      </c>
      <c r="C111" s="11" t="inlineStr">
        <is>
          <t>4</t>
        </is>
      </c>
      <c r="D111" s="2" t="inlineStr">
        <is>
          <t>VALENCIA</t>
        </is>
      </c>
      <c r="E111" s="9" t="n">
        <v>50</v>
      </c>
      <c r="F111" s="9" t="n">
        <v>800</v>
      </c>
    </row>
    <row r="112">
      <c r="A112" s="6" t="n">
        <v>46189</v>
      </c>
      <c r="B112" s="9" t="n">
        <v>117482</v>
      </c>
      <c r="C112" s="11" t="inlineStr">
        <is>
          <t>4</t>
        </is>
      </c>
      <c r="D112" s="2" t="inlineStr">
        <is>
          <t>VALENCIA</t>
        </is>
      </c>
      <c r="E112" s="9" t="n">
        <v>50</v>
      </c>
      <c r="F112" s="9" t="n">
        <v>800</v>
      </c>
    </row>
    <row r="113">
      <c r="A113" s="6" t="n">
        <v>46048</v>
      </c>
      <c r="B113" s="9" t="n">
        <v>293381</v>
      </c>
      <c r="C113" s="11" t="inlineStr">
        <is>
          <t>19C</t>
        </is>
      </c>
      <c r="D113" s="2" t="inlineStr">
        <is>
          <t>CARA-CARA</t>
        </is>
      </c>
      <c r="E113" s="9" t="n">
        <v>50</v>
      </c>
      <c r="F113" s="9" t="n">
        <v>800</v>
      </c>
    </row>
    <row r="114">
      <c r="A114" s="6" t="n">
        <v>46048</v>
      </c>
      <c r="B114" s="9" t="n">
        <v>293390</v>
      </c>
      <c r="C114" s="11" t="inlineStr">
        <is>
          <t>19C</t>
        </is>
      </c>
      <c r="D114" s="2" t="inlineStr">
        <is>
          <t>CARA-CARA</t>
        </is>
      </c>
      <c r="E114" s="9" t="n">
        <v>40</v>
      </c>
      <c r="F114" s="9" t="n">
        <v>640</v>
      </c>
    </row>
    <row r="115">
      <c r="A115" s="6" t="n">
        <v>46055</v>
      </c>
      <c r="B115" s="9" t="n">
        <v>292184</v>
      </c>
      <c r="C115" s="11" t="inlineStr">
        <is>
          <t>9</t>
        </is>
      </c>
      <c r="D115" s="2" t="inlineStr">
        <is>
          <t>CARA-CARA</t>
        </is>
      </c>
      <c r="E115" s="9" t="n">
        <v>50</v>
      </c>
      <c r="F115" s="9" t="n">
        <v>800</v>
      </c>
    </row>
    <row r="116">
      <c r="A116" s="6" t="n">
        <v>46055</v>
      </c>
      <c r="B116" s="9" t="n">
        <v>292192</v>
      </c>
      <c r="C116" s="11" t="inlineStr">
        <is>
          <t>9</t>
        </is>
      </c>
      <c r="D116" s="2" t="inlineStr">
        <is>
          <t>CARA-CARA</t>
        </is>
      </c>
      <c r="E116" s="9" t="n">
        <v>50</v>
      </c>
      <c r="F116" s="9" t="n">
        <v>800</v>
      </c>
    </row>
    <row r="117">
      <c r="A117" s="6" t="n">
        <v>46055</v>
      </c>
      <c r="B117" s="9" t="n">
        <v>292196</v>
      </c>
      <c r="C117" s="11" t="inlineStr">
        <is>
          <t>9</t>
        </is>
      </c>
      <c r="D117" s="2" t="inlineStr">
        <is>
          <t>CARA-CARA</t>
        </is>
      </c>
      <c r="E117" s="9" t="n">
        <v>50</v>
      </c>
      <c r="F117" s="9" t="n">
        <v>800</v>
      </c>
    </row>
    <row r="118">
      <c r="A118" s="6" t="n">
        <v>46060</v>
      </c>
      <c r="B118" s="11" t="inlineStr">
        <is>
          <t>292255</t>
        </is>
      </c>
      <c r="C118" s="11" t="inlineStr">
        <is>
          <t>9</t>
        </is>
      </c>
      <c r="D118" s="2" t="inlineStr">
        <is>
          <t>CARA-CARA</t>
        </is>
      </c>
      <c r="E118" s="9" t="n">
        <v>50</v>
      </c>
      <c r="F118" s="9" t="n">
        <v>800</v>
      </c>
    </row>
    <row r="119">
      <c r="A119" s="6" t="n">
        <v>46060</v>
      </c>
      <c r="B119" s="11" t="inlineStr">
        <is>
          <t>292267</t>
        </is>
      </c>
      <c r="C119" s="11" t="inlineStr">
        <is>
          <t>9</t>
        </is>
      </c>
      <c r="D119" s="2" t="inlineStr">
        <is>
          <t>CARA-CARA</t>
        </is>
      </c>
      <c r="E119" s="9" t="n">
        <v>50</v>
      </c>
      <c r="F119" s="9" t="n">
        <v>800</v>
      </c>
    </row>
    <row r="120">
      <c r="A120" s="6" t="n">
        <v>46060</v>
      </c>
      <c r="B120" s="11" t="inlineStr">
        <is>
          <t>292270</t>
        </is>
      </c>
      <c r="C120" s="11" t="inlineStr">
        <is>
          <t>9</t>
        </is>
      </c>
      <c r="D120" s="2" t="inlineStr">
        <is>
          <t>CARA-CARA</t>
        </is>
      </c>
      <c r="E120" s="9" t="n">
        <v>50</v>
      </c>
      <c r="F120" s="9" t="n">
        <v>800</v>
      </c>
    </row>
    <row r="121">
      <c r="A121" s="6" t="n">
        <v>46060</v>
      </c>
      <c r="B121" s="11" t="inlineStr">
        <is>
          <t>292271</t>
        </is>
      </c>
      <c r="C121" s="11" t="inlineStr">
        <is>
          <t>9</t>
        </is>
      </c>
      <c r="D121" s="2" t="inlineStr">
        <is>
          <t>CARA-CARA</t>
        </is>
      </c>
      <c r="E121" s="9" t="n">
        <v>50</v>
      </c>
      <c r="F121" s="9" t="n">
        <v>800</v>
      </c>
    </row>
    <row r="122">
      <c r="A122" s="6" t="n">
        <v>46060</v>
      </c>
      <c r="B122" s="11" t="inlineStr">
        <is>
          <t>292272</t>
        </is>
      </c>
      <c r="C122" s="11" t="inlineStr">
        <is>
          <t>9</t>
        </is>
      </c>
      <c r="D122" s="2" t="inlineStr">
        <is>
          <t>CARA-CARA</t>
        </is>
      </c>
      <c r="E122" s="9" t="n">
        <v>6</v>
      </c>
      <c r="F122" s="9" t="n">
        <v>96</v>
      </c>
    </row>
    <row r="123">
      <c r="A123" s="6" t="n">
        <v>46060</v>
      </c>
      <c r="B123" s="11" t="inlineStr">
        <is>
          <t>292274</t>
        </is>
      </c>
      <c r="C123" s="11" t="inlineStr">
        <is>
          <t>9</t>
        </is>
      </c>
      <c r="D123" s="2" t="inlineStr">
        <is>
          <t>CARA-CARA</t>
        </is>
      </c>
      <c r="E123" s="9" t="n">
        <v>25</v>
      </c>
      <c r="F123" s="9" t="n">
        <v>400</v>
      </c>
    </row>
    <row r="124">
      <c r="A124" s="6" t="n">
        <v>46129</v>
      </c>
      <c r="B124" s="11" t="inlineStr">
        <is>
          <t>295267</t>
        </is>
      </c>
      <c r="C124" s="11" t="inlineStr">
        <is>
          <t>9</t>
        </is>
      </c>
      <c r="D124" s="2" t="inlineStr">
        <is>
          <t>CARA-CARA</t>
        </is>
      </c>
      <c r="E124" s="9" t="n">
        <v>26</v>
      </c>
      <c r="F124" s="9" t="n">
        <v>416</v>
      </c>
    </row>
    <row r="125">
      <c r="A125" s="6" t="n">
        <v>46129</v>
      </c>
      <c r="B125" s="11" t="inlineStr">
        <is>
          <t>295268</t>
        </is>
      </c>
      <c r="C125" s="11" t="inlineStr">
        <is>
          <t>9</t>
        </is>
      </c>
      <c r="D125" s="2" t="inlineStr">
        <is>
          <t>CARA-CARA</t>
        </is>
      </c>
      <c r="E125" s="9" t="n">
        <v>24</v>
      </c>
      <c r="F125" s="9" t="n">
        <v>384</v>
      </c>
    </row>
    <row r="126">
      <c r="A126" s="6" t="n">
        <v>46129</v>
      </c>
      <c r="B126" s="11" t="inlineStr">
        <is>
          <t>295274</t>
        </is>
      </c>
      <c r="C126" s="11" t="inlineStr">
        <is>
          <t>9</t>
        </is>
      </c>
      <c r="D126" s="2" t="inlineStr">
        <is>
          <t>CARA-CARA</t>
        </is>
      </c>
      <c r="E126" s="9" t="n">
        <v>24</v>
      </c>
      <c r="F126" s="9" t="n">
        <v>384</v>
      </c>
    </row>
    <row r="127">
      <c r="A127" s="6" t="n">
        <v>46129</v>
      </c>
      <c r="B127" s="11" t="inlineStr">
        <is>
          <t>295275</t>
        </is>
      </c>
      <c r="C127" s="11" t="inlineStr">
        <is>
          <t>9</t>
        </is>
      </c>
      <c r="D127" s="2" t="inlineStr">
        <is>
          <t>CARA-CARA</t>
        </is>
      </c>
      <c r="E127" s="9" t="n">
        <v>26</v>
      </c>
      <c r="F127" s="9" t="n">
        <v>416</v>
      </c>
    </row>
    <row r="128">
      <c r="A128" s="6" t="n">
        <v>46129</v>
      </c>
      <c r="B128" s="11" t="inlineStr">
        <is>
          <t>295286</t>
        </is>
      </c>
      <c r="C128" s="11" t="inlineStr">
        <is>
          <t>9</t>
        </is>
      </c>
      <c r="D128" s="2" t="inlineStr">
        <is>
          <t>CARA-CARA</t>
        </is>
      </c>
      <c r="E128" s="9" t="n">
        <v>26</v>
      </c>
      <c r="F128" s="9" t="n">
        <v>416</v>
      </c>
    </row>
    <row r="129">
      <c r="A129" s="6" t="n">
        <v>46129</v>
      </c>
      <c r="B129" s="11" t="inlineStr">
        <is>
          <t>295287</t>
        </is>
      </c>
      <c r="C129" s="11" t="inlineStr">
        <is>
          <t>9</t>
        </is>
      </c>
      <c r="D129" s="2" t="inlineStr">
        <is>
          <t>CARA-CARA</t>
        </is>
      </c>
      <c r="E129" s="9" t="n">
        <v>24</v>
      </c>
      <c r="F129" s="9" t="n">
        <v>384</v>
      </c>
    </row>
    <row r="130">
      <c r="A130" s="6" t="n">
        <v>46129</v>
      </c>
      <c r="B130" s="11" t="inlineStr">
        <is>
          <t>295288</t>
        </is>
      </c>
      <c r="C130" s="11" t="inlineStr">
        <is>
          <t>9</t>
        </is>
      </c>
      <c r="D130" s="2" t="inlineStr">
        <is>
          <t>CARA-CARA</t>
        </is>
      </c>
      <c r="E130" s="9" t="n">
        <v>26</v>
      </c>
      <c r="F130" s="9" t="n">
        <v>416</v>
      </c>
    </row>
    <row r="131">
      <c r="A131" s="6" t="n">
        <v>46129</v>
      </c>
      <c r="B131" s="11" t="inlineStr">
        <is>
          <t>295289</t>
        </is>
      </c>
      <c r="C131" s="11" t="inlineStr">
        <is>
          <t>9</t>
        </is>
      </c>
      <c r="D131" s="2" t="inlineStr">
        <is>
          <t>CARA-CARA</t>
        </is>
      </c>
      <c r="E131" s="9" t="n">
        <v>24</v>
      </c>
      <c r="F131" s="9" t="n">
        <v>384</v>
      </c>
    </row>
    <row r="132">
      <c r="A132" s="6" t="n">
        <v>46132</v>
      </c>
      <c r="B132" s="11" t="inlineStr">
        <is>
          <t>295348</t>
        </is>
      </c>
      <c r="C132" s="11" t="inlineStr">
        <is>
          <t>9</t>
        </is>
      </c>
      <c r="D132" s="2" t="inlineStr">
        <is>
          <t>CARA-CARA</t>
        </is>
      </c>
      <c r="E132" s="9" t="n">
        <v>50</v>
      </c>
      <c r="F132" s="9" t="n">
        <v>800</v>
      </c>
    </row>
    <row r="133">
      <c r="A133" s="6" t="n">
        <v>46132</v>
      </c>
      <c r="B133" s="11" t="inlineStr">
        <is>
          <t>295377</t>
        </is>
      </c>
      <c r="C133" s="11" t="inlineStr">
        <is>
          <t>9</t>
        </is>
      </c>
      <c r="D133" s="2" t="inlineStr">
        <is>
          <t>CARA-CARA</t>
        </is>
      </c>
      <c r="E133" s="9" t="n">
        <v>24</v>
      </c>
      <c r="F133" s="9" t="n">
        <v>384</v>
      </c>
    </row>
    <row r="134">
      <c r="A134" s="6" t="n">
        <v>46132</v>
      </c>
      <c r="B134" s="11" t="inlineStr">
        <is>
          <t>295378</t>
        </is>
      </c>
      <c r="C134" s="11" t="inlineStr">
        <is>
          <t>9</t>
        </is>
      </c>
      <c r="D134" s="2" t="inlineStr">
        <is>
          <t>CARA-CARA</t>
        </is>
      </c>
      <c r="E134" s="9" t="n">
        <v>26</v>
      </c>
      <c r="F134" s="9" t="n">
        <v>416</v>
      </c>
    </row>
    <row r="135">
      <c r="A135" s="6" t="n">
        <v>46132</v>
      </c>
      <c r="B135" s="11" t="inlineStr">
        <is>
          <t>295384</t>
        </is>
      </c>
      <c r="C135" s="11" t="inlineStr">
        <is>
          <t>9</t>
        </is>
      </c>
      <c r="D135" s="2" t="inlineStr">
        <is>
          <t>CARA-CARA</t>
        </is>
      </c>
      <c r="E135" s="9" t="n">
        <v>32</v>
      </c>
      <c r="F135" s="9" t="n">
        <v>512</v>
      </c>
    </row>
    <row r="136">
      <c r="A136" s="6" t="n">
        <v>46132</v>
      </c>
      <c r="B136" s="11" t="inlineStr">
        <is>
          <t>295385</t>
        </is>
      </c>
      <c r="C136" s="11" t="inlineStr">
        <is>
          <t>9</t>
        </is>
      </c>
      <c r="D136" s="2" t="inlineStr">
        <is>
          <t>CARA-CARA</t>
        </is>
      </c>
      <c r="E136" s="9" t="n">
        <v>18</v>
      </c>
      <c r="F136" s="9" t="n">
        <v>288</v>
      </c>
    </row>
    <row r="137">
      <c r="A137" s="6" t="n">
        <v>46132</v>
      </c>
      <c r="B137" s="11" t="inlineStr">
        <is>
          <t>295390</t>
        </is>
      </c>
      <c r="C137" s="11" t="inlineStr">
        <is>
          <t>9</t>
        </is>
      </c>
      <c r="D137" s="2" t="inlineStr">
        <is>
          <t>CARA-CARA</t>
        </is>
      </c>
      <c r="E137" s="9" t="n">
        <v>24</v>
      </c>
      <c r="F137" s="9" t="n">
        <v>384</v>
      </c>
    </row>
    <row r="138">
      <c r="A138" s="6" t="n">
        <v>46132</v>
      </c>
      <c r="B138" s="11" t="inlineStr">
        <is>
          <t>295391</t>
        </is>
      </c>
      <c r="C138" s="11" t="inlineStr">
        <is>
          <t>9</t>
        </is>
      </c>
      <c r="D138" s="2" t="inlineStr">
        <is>
          <t>CARA-CARA</t>
        </is>
      </c>
      <c r="E138" s="9" t="n">
        <v>26</v>
      </c>
      <c r="F138" s="9" t="n">
        <v>416</v>
      </c>
    </row>
    <row r="139">
      <c r="A139" s="6" t="n">
        <v>46132</v>
      </c>
      <c r="B139" s="11" t="inlineStr">
        <is>
          <t>295393</t>
        </is>
      </c>
      <c r="C139" s="11" t="inlineStr">
        <is>
          <t>9</t>
        </is>
      </c>
      <c r="D139" s="2" t="inlineStr">
        <is>
          <t>CARA-CARA</t>
        </is>
      </c>
      <c r="E139" s="9" t="n">
        <v>24</v>
      </c>
      <c r="F139" s="9" t="n">
        <v>384</v>
      </c>
    </row>
    <row r="140">
      <c r="A140" s="6" t="n">
        <v>46132</v>
      </c>
      <c r="B140" s="11" t="inlineStr">
        <is>
          <t>295394</t>
        </is>
      </c>
      <c r="C140" s="11" t="inlineStr">
        <is>
          <t>9</t>
        </is>
      </c>
      <c r="D140" s="2" t="inlineStr">
        <is>
          <t>CARA-CARA</t>
        </is>
      </c>
      <c r="E140" s="9" t="n">
        <v>26</v>
      </c>
      <c r="F140" s="9" t="n">
        <v>416</v>
      </c>
    </row>
    <row r="141">
      <c r="A141" s="6" t="n">
        <v>46132</v>
      </c>
      <c r="B141" s="11" t="inlineStr">
        <is>
          <t>295396</t>
        </is>
      </c>
      <c r="C141" s="11" t="inlineStr">
        <is>
          <t>9</t>
        </is>
      </c>
      <c r="D141" s="2" t="inlineStr">
        <is>
          <t>CARA-CARA</t>
        </is>
      </c>
      <c r="E141" s="9" t="n">
        <v>18.5</v>
      </c>
      <c r="F141" s="9" t="n">
        <v>296</v>
      </c>
    </row>
    <row r="142">
      <c r="A142" s="6" t="n">
        <v>46132</v>
      </c>
      <c r="B142" s="11" t="inlineStr">
        <is>
          <t>295397</t>
        </is>
      </c>
      <c r="C142" s="11" t="inlineStr">
        <is>
          <t>9</t>
        </is>
      </c>
      <c r="D142" s="2" t="inlineStr">
        <is>
          <t>CARA-CARA</t>
        </is>
      </c>
      <c r="E142" s="9" t="n">
        <v>21</v>
      </c>
      <c r="F142" s="9" t="n">
        <v>336</v>
      </c>
    </row>
    <row r="143">
      <c r="A143" s="6" t="n">
        <v>46244</v>
      </c>
      <c r="B143" s="11" t="n">
        <v>117861</v>
      </c>
      <c r="C143" s="11" t="inlineStr">
        <is>
          <t>7</t>
        </is>
      </c>
      <c r="D143" s="2" t="inlineStr">
        <is>
          <t>VALENCIA</t>
        </is>
      </c>
      <c r="E143" s="9" t="n">
        <v>87</v>
      </c>
      <c r="F143" s="9" t="n">
        <v>1392</v>
      </c>
    </row>
    <row r="144">
      <c r="A144" s="6" t="n">
        <v>46244</v>
      </c>
      <c r="B144" s="11" t="n">
        <v>117853</v>
      </c>
      <c r="C144" s="11" t="inlineStr">
        <is>
          <t>7</t>
        </is>
      </c>
      <c r="D144" s="2" t="inlineStr">
        <is>
          <t>VALENCIA</t>
        </is>
      </c>
      <c r="E144" s="9" t="n">
        <v>77</v>
      </c>
      <c r="F144" s="9" t="n">
        <v>1232</v>
      </c>
    </row>
    <row r="145">
      <c r="A145" s="6" t="n">
        <v>46246</v>
      </c>
      <c r="B145" s="11" t="n">
        <v>117859</v>
      </c>
      <c r="C145" s="11" t="inlineStr">
        <is>
          <t>7</t>
        </is>
      </c>
      <c r="D145" s="2" t="inlineStr">
        <is>
          <t>VALENCIA</t>
        </is>
      </c>
      <c r="E145" s="9" t="n">
        <v>150</v>
      </c>
      <c r="F145" s="9" t="n">
        <v>2400</v>
      </c>
    </row>
    <row r="146">
      <c r="A146" s="6" t="n">
        <v>46246</v>
      </c>
      <c r="B146" s="11" t="n">
        <v>117860</v>
      </c>
      <c r="C146" s="11" t="inlineStr">
        <is>
          <t>7</t>
        </is>
      </c>
      <c r="D146" s="2" t="inlineStr">
        <is>
          <t>VALENCIA</t>
        </is>
      </c>
      <c r="E146" s="9" t="n">
        <v>150</v>
      </c>
      <c r="F146" s="9" t="n">
        <v>2400</v>
      </c>
    </row>
    <row r="147">
      <c r="A147" s="6" t="n">
        <v>46249</v>
      </c>
      <c r="B147" s="11" t="n">
        <v>117863</v>
      </c>
      <c r="C147" s="11" t="inlineStr">
        <is>
          <t>7</t>
        </is>
      </c>
      <c r="D147" s="2" t="inlineStr">
        <is>
          <t>VALENCIA</t>
        </is>
      </c>
      <c r="E147" s="9" t="n">
        <v>150</v>
      </c>
      <c r="F147" s="9" t="n">
        <v>2400</v>
      </c>
    </row>
    <row r="148">
      <c r="A148" s="6" t="n">
        <v>46249</v>
      </c>
      <c r="B148" s="11" t="n">
        <v>117864</v>
      </c>
      <c r="C148" s="11" t="inlineStr">
        <is>
          <t>7</t>
        </is>
      </c>
      <c r="D148" s="2" t="inlineStr">
        <is>
          <t>VALENCIA</t>
        </is>
      </c>
      <c r="E148" s="9" t="n">
        <v>150</v>
      </c>
      <c r="F148" s="9" t="n">
        <v>2400</v>
      </c>
    </row>
    <row r="149">
      <c r="A149" s="6" t="n">
        <v>45422</v>
      </c>
      <c r="B149" s="11" t="n">
        <v>352442</v>
      </c>
      <c r="C149" s="11" t="inlineStr">
        <is>
          <t>11</t>
        </is>
      </c>
      <c r="D149" s="2" t="inlineStr">
        <is>
          <t>MURCOTTS</t>
        </is>
      </c>
      <c r="E149" s="9" t="n">
        <v>48</v>
      </c>
      <c r="F149" s="9" t="n">
        <v>768</v>
      </c>
    </row>
    <row r="150">
      <c r="A150" s="6" t="n">
        <v>45422</v>
      </c>
      <c r="B150" s="11" t="n">
        <v>352473</v>
      </c>
      <c r="C150" s="11" t="inlineStr">
        <is>
          <t>11</t>
        </is>
      </c>
      <c r="D150" s="2" t="inlineStr">
        <is>
          <t>MURCOTTS</t>
        </is>
      </c>
      <c r="E150" s="9" t="n">
        <v>48</v>
      </c>
      <c r="F150" s="9" t="n">
        <v>768</v>
      </c>
    </row>
    <row r="151">
      <c r="A151" s="6" t="n">
        <v>45422</v>
      </c>
      <c r="B151" s="11" t="n">
        <v>352485</v>
      </c>
      <c r="C151" s="11" t="inlineStr">
        <is>
          <t>11</t>
        </is>
      </c>
      <c r="D151" s="2" t="inlineStr">
        <is>
          <t>MURCOTTS</t>
        </is>
      </c>
      <c r="E151" s="9" t="n">
        <v>48</v>
      </c>
      <c r="F151" s="9" t="n">
        <v>768</v>
      </c>
    </row>
    <row r="152">
      <c r="A152" s="6" t="n">
        <v>45425</v>
      </c>
      <c r="B152" s="11" t="n">
        <v>352671</v>
      </c>
      <c r="C152" s="11" t="inlineStr">
        <is>
          <t>12</t>
        </is>
      </c>
      <c r="D152" s="2" t="inlineStr">
        <is>
          <t>LEMONS</t>
        </is>
      </c>
      <c r="E152" s="9" t="n">
        <v>50</v>
      </c>
      <c r="F152" s="9" t="n">
        <v>800</v>
      </c>
    </row>
    <row r="153">
      <c r="A153" s="6" t="n">
        <v>45425</v>
      </c>
      <c r="B153" s="11" t="n">
        <v>352691</v>
      </c>
      <c r="C153" s="11" t="inlineStr">
        <is>
          <t>12</t>
        </is>
      </c>
      <c r="D153" s="2" t="inlineStr">
        <is>
          <t>LEMONS</t>
        </is>
      </c>
      <c r="E153" s="9" t="n">
        <v>50</v>
      </c>
      <c r="F153" s="9" t="n">
        <v>800</v>
      </c>
    </row>
    <row r="154">
      <c r="A154" s="6" t="n">
        <v>45425</v>
      </c>
      <c r="B154" s="11" t="n">
        <v>352699</v>
      </c>
      <c r="C154" s="11" t="inlineStr">
        <is>
          <t>12</t>
        </is>
      </c>
      <c r="D154" s="2" t="inlineStr">
        <is>
          <t>LEMONS</t>
        </is>
      </c>
      <c r="E154" s="9" t="n">
        <v>50</v>
      </c>
      <c r="F154" s="9" t="n">
        <v>800</v>
      </c>
    </row>
    <row r="155">
      <c r="A155" s="6" t="n">
        <v>45426</v>
      </c>
      <c r="B155" s="11" t="n">
        <v>352745</v>
      </c>
      <c r="C155" s="11" t="inlineStr">
        <is>
          <t>12</t>
        </is>
      </c>
      <c r="D155" s="2" t="inlineStr">
        <is>
          <t>LEMONS</t>
        </is>
      </c>
      <c r="E155" s="9" t="n">
        <v>50</v>
      </c>
      <c r="F155" s="9" t="n">
        <v>800</v>
      </c>
    </row>
    <row r="156">
      <c r="A156" s="6" t="n">
        <v>45426</v>
      </c>
      <c r="B156" s="11" t="n">
        <v>352760</v>
      </c>
      <c r="C156" s="11" t="inlineStr">
        <is>
          <t>12</t>
        </is>
      </c>
      <c r="D156" s="2" t="inlineStr">
        <is>
          <t>LEMONS</t>
        </is>
      </c>
      <c r="E156" s="9" t="n">
        <v>50</v>
      </c>
      <c r="F156" s="9" t="n">
        <v>800</v>
      </c>
    </row>
    <row r="157">
      <c r="A157" s="6" t="n">
        <v>45426</v>
      </c>
      <c r="B157" s="11" t="n">
        <v>352778</v>
      </c>
      <c r="C157" s="11" t="inlineStr">
        <is>
          <t>12</t>
        </is>
      </c>
      <c r="D157" s="2" t="inlineStr">
        <is>
          <t>LEMONS</t>
        </is>
      </c>
      <c r="E157" s="9" t="n">
        <v>50</v>
      </c>
      <c r="F157" s="9" t="n">
        <v>800</v>
      </c>
    </row>
    <row r="158">
      <c r="A158" s="6" t="n">
        <v>45427</v>
      </c>
      <c r="B158" s="11" t="n">
        <v>352822</v>
      </c>
      <c r="C158" s="11" t="inlineStr">
        <is>
          <t>12</t>
        </is>
      </c>
      <c r="D158" s="2" t="inlineStr">
        <is>
          <t>LEMONS</t>
        </is>
      </c>
      <c r="E158" s="9" t="n">
        <v>50</v>
      </c>
      <c r="F158" s="9" t="n">
        <v>800</v>
      </c>
    </row>
    <row r="159">
      <c r="A159" s="6" t="n">
        <v>45427</v>
      </c>
      <c r="B159" s="11" t="n">
        <v>352858</v>
      </c>
      <c r="C159" s="11" t="inlineStr">
        <is>
          <t>12</t>
        </is>
      </c>
      <c r="D159" s="2" t="inlineStr">
        <is>
          <t>LEMONS</t>
        </is>
      </c>
      <c r="E159" s="9" t="n">
        <v>50</v>
      </c>
      <c r="F159" s="9" t="n">
        <v>800</v>
      </c>
    </row>
    <row r="160">
      <c r="A160" s="6" t="n">
        <v>45427</v>
      </c>
      <c r="B160" s="11" t="n">
        <v>352866</v>
      </c>
      <c r="C160" s="11" t="inlineStr">
        <is>
          <t>12</t>
        </is>
      </c>
      <c r="D160" s="2" t="inlineStr">
        <is>
          <t>LEMONS</t>
        </is>
      </c>
      <c r="E160" s="9" t="n">
        <v>50</v>
      </c>
      <c r="F160" s="9" t="n">
        <v>800</v>
      </c>
    </row>
    <row r="161">
      <c r="A161" s="6" t="n">
        <v>45259</v>
      </c>
      <c r="B161" s="11" t="n">
        <v>342377</v>
      </c>
      <c r="C161" s="11" t="inlineStr">
        <is>
          <t>12</t>
        </is>
      </c>
      <c r="D161" s="2" t="inlineStr">
        <is>
          <t>LEMONS</t>
        </is>
      </c>
      <c r="E161" s="9" t="n">
        <v>50</v>
      </c>
      <c r="F161" s="9" t="n">
        <v>800</v>
      </c>
    </row>
    <row r="162">
      <c r="A162" s="6" t="n">
        <v>45259</v>
      </c>
      <c r="B162" s="11" t="n">
        <v>342390</v>
      </c>
      <c r="C162" s="11" t="inlineStr">
        <is>
          <t>12</t>
        </is>
      </c>
      <c r="D162" s="2" t="inlineStr">
        <is>
          <t>LEMONS</t>
        </is>
      </c>
      <c r="E162" s="9" t="n">
        <v>50</v>
      </c>
      <c r="F162" s="9" t="n">
        <v>800</v>
      </c>
    </row>
    <row r="163">
      <c r="A163" s="6" t="n">
        <v>45260</v>
      </c>
      <c r="B163" s="11" t="n">
        <v>342469</v>
      </c>
      <c r="C163" s="11" t="inlineStr">
        <is>
          <t>12</t>
        </is>
      </c>
      <c r="D163" s="2" t="inlineStr">
        <is>
          <t>LEMONS</t>
        </is>
      </c>
      <c r="E163" s="9" t="n">
        <v>50</v>
      </c>
      <c r="F163" s="9" t="n">
        <v>800</v>
      </c>
    </row>
    <row r="164">
      <c r="A164" s="6" t="n">
        <v>45260</v>
      </c>
      <c r="B164" s="11" t="n">
        <v>342478</v>
      </c>
      <c r="C164" s="11" t="inlineStr">
        <is>
          <t>12</t>
        </is>
      </c>
      <c r="D164" s="2" t="inlineStr">
        <is>
          <t>LEMONS</t>
        </is>
      </c>
      <c r="E164" s="9" t="n">
        <v>50</v>
      </c>
      <c r="F164" s="9" t="n">
        <v>800</v>
      </c>
    </row>
    <row r="165">
      <c r="A165" s="6" t="n">
        <v>45264</v>
      </c>
      <c r="B165" s="11" t="n">
        <v>342142</v>
      </c>
      <c r="C165" s="11" t="inlineStr">
        <is>
          <t>12</t>
        </is>
      </c>
      <c r="D165" s="2" t="inlineStr">
        <is>
          <t>LEMONS</t>
        </is>
      </c>
      <c r="E165" s="9" t="n">
        <v>50</v>
      </c>
      <c r="F165" s="9" t="n">
        <v>800</v>
      </c>
    </row>
    <row r="166">
      <c r="A166" s="6" t="n">
        <v>45264</v>
      </c>
      <c r="B166" s="11" t="n">
        <v>342161</v>
      </c>
      <c r="C166" s="11" t="inlineStr">
        <is>
          <t>12</t>
        </is>
      </c>
      <c r="D166" s="2" t="inlineStr">
        <is>
          <t>LEMONS</t>
        </is>
      </c>
      <c r="E166" s="9" t="n">
        <v>50</v>
      </c>
      <c r="F166" s="9" t="n">
        <v>800</v>
      </c>
    </row>
    <row r="167">
      <c r="A167" s="6" t="n">
        <v>45264</v>
      </c>
      <c r="B167" s="11" t="n">
        <v>342167</v>
      </c>
      <c r="C167" s="11" t="inlineStr">
        <is>
          <t>12</t>
        </is>
      </c>
      <c r="D167" s="2" t="inlineStr">
        <is>
          <t>LEMONS</t>
        </is>
      </c>
      <c r="E167" s="9" t="n">
        <v>34</v>
      </c>
      <c r="F167" s="9" t="n">
        <v>544</v>
      </c>
    </row>
    <row r="168">
      <c r="A168" s="6" t="n">
        <v>44933</v>
      </c>
      <c r="B168" s="11" t="n">
        <v>275863</v>
      </c>
      <c r="C168" s="11" t="inlineStr">
        <is>
          <t>9</t>
        </is>
      </c>
      <c r="D168" s="2" t="inlineStr">
        <is>
          <t>CARA-CARA</t>
        </is>
      </c>
      <c r="E168" s="9" t="n">
        <v>50</v>
      </c>
      <c r="F168" s="9" t="n">
        <v>800</v>
      </c>
    </row>
    <row r="169">
      <c r="A169" s="6" t="n">
        <v>44933</v>
      </c>
      <c r="B169" s="11" t="n">
        <v>275882</v>
      </c>
      <c r="C169" s="11" t="inlineStr">
        <is>
          <t>9</t>
        </is>
      </c>
      <c r="D169" s="2" t="inlineStr">
        <is>
          <t>CARA-CARA</t>
        </is>
      </c>
      <c r="E169" s="9" t="n">
        <v>50</v>
      </c>
      <c r="F169" s="9" t="n">
        <v>800</v>
      </c>
    </row>
    <row r="170">
      <c r="A170" s="6" t="n">
        <v>44530</v>
      </c>
      <c r="B170" s="11" t="n">
        <v>312968</v>
      </c>
      <c r="C170" s="11" t="inlineStr">
        <is>
          <t>1</t>
        </is>
      </c>
      <c r="D170" s="2" t="inlineStr">
        <is>
          <t>CLEMENTINES</t>
        </is>
      </c>
      <c r="E170" s="9" t="n">
        <v>30</v>
      </c>
      <c r="F170" s="9" t="n">
        <v>480</v>
      </c>
    </row>
    <row r="171">
      <c r="A171" s="6" t="n">
        <v>44529</v>
      </c>
      <c r="B171" s="11" t="n">
        <v>312894</v>
      </c>
      <c r="C171" s="11" t="inlineStr">
        <is>
          <t>1</t>
        </is>
      </c>
      <c r="D171" s="2" t="inlineStr">
        <is>
          <t>CLEMENTINES</t>
        </is>
      </c>
      <c r="E171" s="9" t="n">
        <v>46</v>
      </c>
      <c r="F171" s="9" t="n">
        <v>736</v>
      </c>
    </row>
    <row r="172">
      <c r="A172" s="6" t="n">
        <v>44569</v>
      </c>
      <c r="B172" s="11" t="n">
        <v>275177</v>
      </c>
      <c r="C172" s="11" t="inlineStr">
        <is>
          <t>13W</t>
        </is>
      </c>
      <c r="D172" s="2" t="inlineStr">
        <is>
          <t>NAVEL</t>
        </is>
      </c>
      <c r="E172" s="9" t="n">
        <v>22</v>
      </c>
      <c r="F172" s="9" t="n">
        <v>352</v>
      </c>
    </row>
    <row r="173">
      <c r="A173" s="6" t="n">
        <v>44551</v>
      </c>
      <c r="B173" s="11" t="n">
        <v>314252</v>
      </c>
      <c r="C173" s="11" t="inlineStr">
        <is>
          <t>2B</t>
        </is>
      </c>
      <c r="D173" s="2" t="inlineStr">
        <is>
          <t>CLEMENTINES</t>
        </is>
      </c>
      <c r="E173" s="9" t="n">
        <v>29</v>
      </c>
      <c r="F173" s="9" t="n">
        <v>464</v>
      </c>
    </row>
    <row r="174">
      <c r="A174" s="6" t="n">
        <v>44550</v>
      </c>
      <c r="B174" s="11" t="n">
        <v>314176</v>
      </c>
      <c r="C174" s="11" t="inlineStr">
        <is>
          <t>2B</t>
        </is>
      </c>
      <c r="D174" s="2" t="inlineStr">
        <is>
          <t>CLEMENTINES</t>
        </is>
      </c>
      <c r="E174" s="9" t="n">
        <v>48</v>
      </c>
      <c r="F174" s="9" t="n">
        <v>768</v>
      </c>
    </row>
    <row r="175">
      <c r="A175" s="6" t="n">
        <v>44538</v>
      </c>
      <c r="B175" s="11" t="n">
        <v>313625</v>
      </c>
      <c r="C175" s="11" t="inlineStr">
        <is>
          <t>2B</t>
        </is>
      </c>
      <c r="D175" s="2" t="inlineStr">
        <is>
          <t>CLEMENTINES</t>
        </is>
      </c>
      <c r="E175" s="9" t="n">
        <v>50</v>
      </c>
      <c r="F175" s="9" t="n">
        <v>800</v>
      </c>
    </row>
    <row r="176">
      <c r="A176" s="6" t="n">
        <v>44530</v>
      </c>
      <c r="B176" s="11" t="n">
        <v>312969</v>
      </c>
      <c r="C176" s="11" t="inlineStr">
        <is>
          <t>2B</t>
        </is>
      </c>
      <c r="D176" s="2" t="inlineStr">
        <is>
          <t>CLEMENTINES</t>
        </is>
      </c>
      <c r="E176" s="9" t="n">
        <v>8</v>
      </c>
      <c r="F176" s="9" t="n">
        <v>128</v>
      </c>
    </row>
    <row r="177">
      <c r="A177" s="6" t="n">
        <v>44326</v>
      </c>
      <c r="B177" s="11" t="n">
        <v>966845</v>
      </c>
      <c r="C177" s="11" t="inlineStr">
        <is>
          <t>10</t>
        </is>
      </c>
      <c r="D177" s="2" t="inlineStr">
        <is>
          <t>NAVEL</t>
        </is>
      </c>
      <c r="E177" s="9" t="n">
        <v>48</v>
      </c>
      <c r="F177" s="9" t="n">
        <v>768</v>
      </c>
    </row>
    <row r="178">
      <c r="A178" s="6" t="n">
        <v>44257</v>
      </c>
      <c r="B178" s="11" t="n">
        <v>303720</v>
      </c>
      <c r="C178" s="11" t="inlineStr">
        <is>
          <t>11</t>
        </is>
      </c>
      <c r="D178" s="2" t="inlineStr">
        <is>
          <t>MURCOTTS</t>
        </is>
      </c>
      <c r="E178" s="9" t="n">
        <v>39</v>
      </c>
      <c r="F178" s="9" t="n">
        <v>624</v>
      </c>
    </row>
    <row r="179">
      <c r="A179" s="6" t="n">
        <v>44273</v>
      </c>
      <c r="B179" s="11" t="n">
        <v>305048</v>
      </c>
      <c r="C179" s="11" t="inlineStr">
        <is>
          <t>12</t>
        </is>
      </c>
      <c r="D179" s="2" t="inlineStr">
        <is>
          <t>LEMONS</t>
        </is>
      </c>
      <c r="E179" s="9" t="n">
        <v>16.5</v>
      </c>
      <c r="F179" s="9" t="n">
        <v>264</v>
      </c>
    </row>
    <row r="180">
      <c r="A180" s="6" t="n">
        <v>44273</v>
      </c>
      <c r="B180" s="11" t="n">
        <v>305049</v>
      </c>
      <c r="C180" s="11" t="inlineStr">
        <is>
          <t>12</t>
        </is>
      </c>
      <c r="D180" s="2" t="inlineStr">
        <is>
          <t>LEMONS</t>
        </is>
      </c>
      <c r="E180" s="9" t="n">
        <v>10.5</v>
      </c>
      <c r="F180" s="9" t="n">
        <v>168</v>
      </c>
    </row>
    <row r="181">
      <c r="A181" s="6" t="n">
        <v>44272</v>
      </c>
      <c r="B181" s="11" t="n">
        <v>304964</v>
      </c>
      <c r="C181" s="11" t="inlineStr">
        <is>
          <t>12</t>
        </is>
      </c>
      <c r="D181" s="2" t="inlineStr">
        <is>
          <t>LEMONS</t>
        </is>
      </c>
      <c r="E181" s="9" t="n">
        <v>50</v>
      </c>
      <c r="F181" s="9" t="n">
        <v>800</v>
      </c>
    </row>
    <row r="182">
      <c r="A182" s="6" t="n">
        <v>44272</v>
      </c>
      <c r="B182" s="11" t="n">
        <v>304992</v>
      </c>
      <c r="C182" s="11" t="inlineStr">
        <is>
          <t>12</t>
        </is>
      </c>
      <c r="D182" s="2" t="inlineStr">
        <is>
          <t>LEMONS</t>
        </is>
      </c>
      <c r="E182" s="9" t="n">
        <v>32</v>
      </c>
      <c r="F182" s="9" t="n">
        <v>512</v>
      </c>
    </row>
    <row r="183">
      <c r="A183" s="6" t="n">
        <v>44272</v>
      </c>
      <c r="B183" s="11" t="n">
        <v>304993</v>
      </c>
      <c r="C183" s="11" t="inlineStr">
        <is>
          <t>12</t>
        </is>
      </c>
      <c r="D183" s="2" t="inlineStr">
        <is>
          <t>LEMONS</t>
        </is>
      </c>
      <c r="E183" s="9" t="n">
        <v>18</v>
      </c>
      <c r="F183" s="9" t="n">
        <v>288</v>
      </c>
    </row>
    <row r="184">
      <c r="A184" s="6" t="n">
        <v>44272</v>
      </c>
      <c r="B184" s="11" t="n">
        <v>305021</v>
      </c>
      <c r="C184" s="11" t="inlineStr">
        <is>
          <t>12</t>
        </is>
      </c>
      <c r="D184" s="2" t="inlineStr">
        <is>
          <t>LEMONS</t>
        </is>
      </c>
      <c r="E184" s="9" t="n">
        <v>37</v>
      </c>
      <c r="F184" s="9" t="n">
        <v>592</v>
      </c>
    </row>
    <row r="185">
      <c r="A185" s="6" t="n">
        <v>44272</v>
      </c>
      <c r="B185" s="11" t="n">
        <v>305022</v>
      </c>
      <c r="C185" s="11" t="inlineStr">
        <is>
          <t>12</t>
        </is>
      </c>
      <c r="D185" s="2" t="inlineStr">
        <is>
          <t>LEMONS</t>
        </is>
      </c>
      <c r="E185" s="9" t="n">
        <v>13</v>
      </c>
      <c r="F185" s="9" t="n">
        <v>208</v>
      </c>
    </row>
    <row r="186">
      <c r="A186" s="6" t="n">
        <v>44269</v>
      </c>
      <c r="B186" s="11" t="n">
        <v>304821</v>
      </c>
      <c r="C186" s="11" t="inlineStr">
        <is>
          <t>12</t>
        </is>
      </c>
      <c r="D186" s="2" t="inlineStr">
        <is>
          <t>LEMONS</t>
        </is>
      </c>
      <c r="E186" s="9" t="n">
        <v>37</v>
      </c>
      <c r="F186" s="9" t="n">
        <v>592</v>
      </c>
    </row>
    <row r="187">
      <c r="A187" s="6" t="n">
        <v>44264</v>
      </c>
      <c r="B187" s="11" t="n">
        <v>304444</v>
      </c>
      <c r="C187" s="11" t="inlineStr">
        <is>
          <t>12</t>
        </is>
      </c>
      <c r="D187" s="2" t="inlineStr">
        <is>
          <t>LEMONS</t>
        </is>
      </c>
      <c r="E187" s="9" t="n">
        <v>50</v>
      </c>
      <c r="F187" s="9" t="n">
        <v>800</v>
      </c>
    </row>
    <row r="188">
      <c r="A188" s="6" t="n">
        <v>44264</v>
      </c>
      <c r="B188" s="11" t="n">
        <v>304494</v>
      </c>
      <c r="C188" s="11" t="inlineStr">
        <is>
          <t>12</t>
        </is>
      </c>
      <c r="D188" s="2" t="inlineStr">
        <is>
          <t>LEMONS</t>
        </is>
      </c>
      <c r="E188" s="9" t="n">
        <v>50</v>
      </c>
      <c r="F188" s="9" t="n">
        <v>800</v>
      </c>
    </row>
    <row r="189">
      <c r="A189" s="6" t="n">
        <v>44217</v>
      </c>
      <c r="B189" s="11" t="n">
        <v>300378</v>
      </c>
      <c r="C189" s="11" t="inlineStr">
        <is>
          <t>12</t>
        </is>
      </c>
      <c r="D189" s="2" t="inlineStr">
        <is>
          <t>LEMONS</t>
        </is>
      </c>
      <c r="E189" s="9" t="n">
        <v>50</v>
      </c>
      <c r="F189" s="9" t="n">
        <v>800</v>
      </c>
    </row>
    <row r="190">
      <c r="A190" s="6" t="n">
        <v>44217</v>
      </c>
      <c r="B190" s="11" t="n">
        <v>300419</v>
      </c>
      <c r="C190" s="11" t="inlineStr">
        <is>
          <t>12</t>
        </is>
      </c>
      <c r="D190" s="2" t="inlineStr">
        <is>
          <t>LEMONS</t>
        </is>
      </c>
      <c r="E190" s="9" t="n">
        <v>50</v>
      </c>
      <c r="F190" s="9" t="n">
        <v>800</v>
      </c>
    </row>
    <row r="191">
      <c r="A191" s="6" t="n">
        <v>44217</v>
      </c>
      <c r="B191" s="11" t="n">
        <v>300434</v>
      </c>
      <c r="C191" s="11" t="inlineStr">
        <is>
          <t>12</t>
        </is>
      </c>
      <c r="D191" s="2" t="inlineStr">
        <is>
          <t>LEMONS</t>
        </is>
      </c>
      <c r="E191" s="9" t="n">
        <v>49</v>
      </c>
      <c r="F191" s="9" t="n">
        <v>784</v>
      </c>
    </row>
    <row r="192">
      <c r="A192" s="6" t="n">
        <v>44216</v>
      </c>
      <c r="B192" s="11" t="n">
        <v>300288</v>
      </c>
      <c r="C192" s="11" t="inlineStr">
        <is>
          <t>12</t>
        </is>
      </c>
      <c r="D192" s="2" t="inlineStr">
        <is>
          <t>LEMONS</t>
        </is>
      </c>
      <c r="E192" s="9" t="n">
        <v>50</v>
      </c>
      <c r="F192" s="9" t="n">
        <v>800</v>
      </c>
    </row>
    <row r="193">
      <c r="A193" s="6" t="n">
        <v>44216</v>
      </c>
      <c r="B193" s="11" t="n">
        <v>300312</v>
      </c>
      <c r="C193" s="11" t="inlineStr">
        <is>
          <t>12</t>
        </is>
      </c>
      <c r="D193" s="2" t="inlineStr">
        <is>
          <t>LEMONS</t>
        </is>
      </c>
      <c r="E193" s="9" t="n">
        <v>50</v>
      </c>
      <c r="F193" s="9" t="n">
        <v>800</v>
      </c>
    </row>
    <row r="194">
      <c r="A194" s="6" t="n">
        <v>44216</v>
      </c>
      <c r="B194" s="11" t="n">
        <v>300334</v>
      </c>
      <c r="C194" s="11" t="inlineStr">
        <is>
          <t>12</t>
        </is>
      </c>
      <c r="D194" s="2" t="inlineStr">
        <is>
          <t>LEMONS</t>
        </is>
      </c>
      <c r="E194" s="9" t="n">
        <v>50</v>
      </c>
      <c r="F194" s="9" t="n">
        <v>800</v>
      </c>
    </row>
    <row r="195">
      <c r="A195" s="6" t="n">
        <v>44216</v>
      </c>
      <c r="B195" s="11" t="n">
        <v>300342</v>
      </c>
      <c r="C195" s="11" t="inlineStr">
        <is>
          <t>12</t>
        </is>
      </c>
      <c r="D195" s="2" t="inlineStr">
        <is>
          <t>LEMONS</t>
        </is>
      </c>
      <c r="E195" s="9" t="n">
        <v>40</v>
      </c>
      <c r="F195" s="9" t="n">
        <v>640</v>
      </c>
    </row>
    <row r="196">
      <c r="A196" s="6" t="n">
        <v>44174</v>
      </c>
      <c r="B196" s="11" t="n">
        <v>384303</v>
      </c>
      <c r="C196" s="11" t="inlineStr">
        <is>
          <t>12</t>
        </is>
      </c>
      <c r="D196" s="2" t="inlineStr">
        <is>
          <t>LEMONS</t>
        </is>
      </c>
      <c r="E196" s="9" t="n">
        <v>48</v>
      </c>
      <c r="F196" s="9" t="n">
        <v>768</v>
      </c>
    </row>
    <row r="197">
      <c r="A197" s="6" t="n">
        <v>44174</v>
      </c>
      <c r="B197" s="11" t="n">
        <v>384354</v>
      </c>
      <c r="C197" s="11" t="inlineStr">
        <is>
          <t>12</t>
        </is>
      </c>
      <c r="D197" s="2" t="inlineStr">
        <is>
          <t>LEMONS</t>
        </is>
      </c>
      <c r="E197" s="9" t="n">
        <v>35</v>
      </c>
      <c r="F197" s="9" t="n">
        <v>560</v>
      </c>
    </row>
    <row r="198">
      <c r="A198" s="6" t="n">
        <v>44173</v>
      </c>
      <c r="B198" s="11" t="n">
        <v>384210</v>
      </c>
      <c r="C198" s="11" t="inlineStr">
        <is>
          <t>12</t>
        </is>
      </c>
      <c r="D198" s="2" t="inlineStr">
        <is>
          <t>LEMONS</t>
        </is>
      </c>
      <c r="E198" s="9" t="n">
        <v>48</v>
      </c>
      <c r="F198" s="9" t="n">
        <v>768</v>
      </c>
    </row>
    <row r="199">
      <c r="A199" s="6" t="n">
        <v>44173</v>
      </c>
      <c r="B199" s="11" t="n">
        <v>384235</v>
      </c>
      <c r="C199" s="11" t="inlineStr">
        <is>
          <t>12</t>
        </is>
      </c>
      <c r="D199" s="2" t="inlineStr">
        <is>
          <t>LEMONS</t>
        </is>
      </c>
      <c r="E199" s="9" t="n">
        <v>31</v>
      </c>
      <c r="F199" s="9" t="n">
        <v>496</v>
      </c>
    </row>
    <row r="200">
      <c r="A200" s="6" t="n">
        <v>44172</v>
      </c>
      <c r="B200" s="11" t="n">
        <v>384125</v>
      </c>
      <c r="C200" s="11" t="inlineStr">
        <is>
          <t>12</t>
        </is>
      </c>
      <c r="D200" s="2" t="inlineStr">
        <is>
          <t>LEMONS</t>
        </is>
      </c>
      <c r="E200" s="9" t="n">
        <v>48</v>
      </c>
      <c r="F200" s="9" t="n">
        <v>768</v>
      </c>
    </row>
    <row r="201">
      <c r="A201" s="6" t="n">
        <v>44169</v>
      </c>
      <c r="B201" s="11" t="n">
        <v>383936</v>
      </c>
      <c r="C201" s="11" t="inlineStr">
        <is>
          <t>12</t>
        </is>
      </c>
      <c r="D201" s="2" t="inlineStr">
        <is>
          <t>LEMONS</t>
        </is>
      </c>
      <c r="E201" s="9" t="n">
        <v>48</v>
      </c>
      <c r="F201" s="9" t="n">
        <v>768</v>
      </c>
    </row>
    <row r="202">
      <c r="A202" s="6" t="n">
        <v>44169</v>
      </c>
      <c r="B202" s="11" t="n">
        <v>383940</v>
      </c>
      <c r="C202" s="11" t="inlineStr">
        <is>
          <t>12</t>
        </is>
      </c>
      <c r="D202" s="2" t="inlineStr">
        <is>
          <t>LEMONS</t>
        </is>
      </c>
      <c r="E202" s="9" t="n">
        <v>43</v>
      </c>
      <c r="F202" s="9" t="n">
        <v>688</v>
      </c>
    </row>
    <row r="203">
      <c r="A203" s="6" t="n">
        <v>44257</v>
      </c>
      <c r="B203" s="11" t="n">
        <v>303721</v>
      </c>
      <c r="C203" s="11" t="inlineStr">
        <is>
          <t>2A</t>
        </is>
      </c>
      <c r="D203" s="2" t="inlineStr">
        <is>
          <t>MURCOTTS</t>
        </is>
      </c>
      <c r="E203" s="9" t="n">
        <v>9</v>
      </c>
      <c r="F203" s="9" t="n">
        <v>144</v>
      </c>
    </row>
    <row r="204">
      <c r="A204" s="6" t="n">
        <v>44257</v>
      </c>
      <c r="B204" s="11" t="n">
        <v>303749</v>
      </c>
      <c r="C204" s="11" t="inlineStr">
        <is>
          <t>2A</t>
        </is>
      </c>
      <c r="D204" s="2" t="inlineStr">
        <is>
          <t>MURCOTTS</t>
        </is>
      </c>
      <c r="E204" s="9" t="n">
        <v>40.75</v>
      </c>
      <c r="F204" s="9" t="n">
        <v>652</v>
      </c>
    </row>
    <row r="205">
      <c r="A205" s="6" t="n">
        <v>44194</v>
      </c>
      <c r="B205" s="11" t="n">
        <v>386088</v>
      </c>
      <c r="C205" s="11" t="inlineStr">
        <is>
          <t>2B</t>
        </is>
      </c>
      <c r="D205" s="2" t="inlineStr">
        <is>
          <t>CLEMENTINES</t>
        </is>
      </c>
      <c r="E205" s="9" t="n">
        <v>31</v>
      </c>
      <c r="F205" s="9" t="n">
        <v>496</v>
      </c>
    </row>
    <row r="206">
      <c r="A206" s="6" t="n">
        <v>44154</v>
      </c>
      <c r="B206" s="11" t="n">
        <v>383112</v>
      </c>
      <c r="C206" s="11" t="inlineStr">
        <is>
          <t>2B</t>
        </is>
      </c>
      <c r="D206" s="2" t="inlineStr">
        <is>
          <t>CLEMENTINES</t>
        </is>
      </c>
      <c r="E206" s="9" t="n">
        <v>48</v>
      </c>
      <c r="F206" s="9" t="n">
        <v>768</v>
      </c>
    </row>
    <row r="207">
      <c r="A207" s="6" t="n">
        <v>44154</v>
      </c>
      <c r="B207" s="11" t="n">
        <v>383111</v>
      </c>
      <c r="C207" s="11" t="inlineStr">
        <is>
          <t>2B</t>
        </is>
      </c>
      <c r="D207" s="2" t="inlineStr">
        <is>
          <t>CLEMENTINES</t>
        </is>
      </c>
      <c r="E207" s="9" t="n">
        <v>50</v>
      </c>
      <c r="F207" s="9" t="n">
        <v>800</v>
      </c>
    </row>
    <row r="208">
      <c r="A208" s="6" t="n">
        <v>44154</v>
      </c>
      <c r="B208" s="11" t="n">
        <v>383114</v>
      </c>
      <c r="C208" s="11" t="inlineStr">
        <is>
          <t>2B</t>
        </is>
      </c>
      <c r="D208" s="2" t="inlineStr">
        <is>
          <t>CLEMENTINES</t>
        </is>
      </c>
      <c r="E208" s="9" t="n">
        <v>35</v>
      </c>
      <c r="F208" s="9" t="n">
        <v>560</v>
      </c>
    </row>
    <row r="209">
      <c r="A209" s="6" t="n">
        <v>44310</v>
      </c>
      <c r="B209" s="11" t="n">
        <v>272300</v>
      </c>
      <c r="C209" s="11" t="inlineStr">
        <is>
          <t>9</t>
        </is>
      </c>
      <c r="D209" s="2" t="inlineStr">
        <is>
          <t>CARA-CARA</t>
        </is>
      </c>
      <c r="E209" s="9" t="n">
        <v>50</v>
      </c>
      <c r="F209" s="9" t="n">
        <v>800</v>
      </c>
    </row>
    <row r="210">
      <c r="A210" s="6" t="n">
        <v>44310</v>
      </c>
      <c r="B210" s="11" t="n">
        <v>272312</v>
      </c>
      <c r="C210" s="11" t="inlineStr">
        <is>
          <t>9</t>
        </is>
      </c>
      <c r="D210" s="2" t="inlineStr">
        <is>
          <t>CARA-CARA</t>
        </is>
      </c>
      <c r="E210" s="9" t="n">
        <v>50</v>
      </c>
      <c r="F210" s="9" t="n">
        <v>800</v>
      </c>
    </row>
    <row r="211">
      <c r="A211" s="6" t="n">
        <v>44299</v>
      </c>
      <c r="B211" s="11" t="n">
        <v>269156</v>
      </c>
      <c r="C211" s="11" t="inlineStr">
        <is>
          <t>9</t>
        </is>
      </c>
      <c r="D211" s="2" t="inlineStr">
        <is>
          <t>CARA-CARA</t>
        </is>
      </c>
      <c r="E211" s="9" t="n">
        <v>50</v>
      </c>
      <c r="F211" s="9" t="n">
        <v>800</v>
      </c>
    </row>
    <row r="212">
      <c r="A212" s="6" t="n">
        <v>44299</v>
      </c>
      <c r="B212" s="11" t="n">
        <v>269161</v>
      </c>
      <c r="C212" s="11" t="inlineStr">
        <is>
          <t>9</t>
        </is>
      </c>
      <c r="D212" s="2" t="inlineStr">
        <is>
          <t>CARA-CARA</t>
        </is>
      </c>
      <c r="E212" s="9" t="n">
        <v>50</v>
      </c>
      <c r="F212" s="9" t="n">
        <v>800</v>
      </c>
    </row>
    <row r="213">
      <c r="A213" s="6" t="n">
        <v>44299</v>
      </c>
      <c r="B213" s="11" t="n">
        <v>269167</v>
      </c>
      <c r="C213" s="11" t="inlineStr">
        <is>
          <t>9</t>
        </is>
      </c>
      <c r="D213" s="2" t="inlineStr">
        <is>
          <t>CARA-CARA</t>
        </is>
      </c>
      <c r="E213" s="9" t="n">
        <v>50</v>
      </c>
      <c r="F213" s="9" t="n">
        <v>800</v>
      </c>
    </row>
    <row r="214">
      <c r="A214" s="6" t="n">
        <v>44280</v>
      </c>
      <c r="B214" s="11" t="n">
        <v>268895</v>
      </c>
      <c r="C214" s="11" t="inlineStr">
        <is>
          <t>9</t>
        </is>
      </c>
      <c r="D214" s="2" t="inlineStr">
        <is>
          <t>CARA-CARA</t>
        </is>
      </c>
      <c r="E214" s="9" t="n">
        <v>50</v>
      </c>
      <c r="F214" s="9" t="n">
        <v>800</v>
      </c>
    </row>
    <row r="215">
      <c r="A215" s="6" t="n">
        <v>44280</v>
      </c>
      <c r="B215" s="11" t="n">
        <v>268913</v>
      </c>
      <c r="C215" s="11" t="inlineStr">
        <is>
          <t>9</t>
        </is>
      </c>
      <c r="D215" s="2" t="inlineStr">
        <is>
          <t>CARA-CARA</t>
        </is>
      </c>
      <c r="E215" s="9" t="n">
        <v>50</v>
      </c>
      <c r="F215" s="9" t="n">
        <v>800</v>
      </c>
    </row>
    <row r="216">
      <c r="A216" s="6" t="n">
        <v>44249</v>
      </c>
      <c r="B216" s="11" t="n">
        <v>269564</v>
      </c>
      <c r="C216" s="11" t="inlineStr">
        <is>
          <t>9</t>
        </is>
      </c>
      <c r="D216" s="2" t="inlineStr">
        <is>
          <t>CARA-CARA</t>
        </is>
      </c>
      <c r="E216" s="9" t="n">
        <v>50</v>
      </c>
      <c r="F216" s="9" t="n">
        <v>800</v>
      </c>
    </row>
    <row r="217">
      <c r="A217" s="6" t="n">
        <v>44249</v>
      </c>
      <c r="B217" s="11" t="n">
        <v>269572</v>
      </c>
      <c r="C217" s="11" t="inlineStr">
        <is>
          <t>9</t>
        </is>
      </c>
      <c r="D217" s="2" t="inlineStr">
        <is>
          <t>CARA-CARA</t>
        </is>
      </c>
      <c r="E217" s="9" t="n">
        <v>50</v>
      </c>
      <c r="F217" s="9" t="n">
        <v>800</v>
      </c>
    </row>
    <row r="218">
      <c r="A218" s="6" t="n">
        <v>43795</v>
      </c>
      <c r="B218" s="11" t="n">
        <v>367126</v>
      </c>
      <c r="C218" s="11" t="inlineStr">
        <is>
          <t>12</t>
        </is>
      </c>
      <c r="D218" s="2" t="inlineStr">
        <is>
          <t>LEMONS</t>
        </is>
      </c>
      <c r="E218" s="9" t="n">
        <v>48</v>
      </c>
      <c r="F218" s="9" t="n">
        <v>768</v>
      </c>
    </row>
    <row r="219">
      <c r="A219" s="6" t="n">
        <v>43795</v>
      </c>
      <c r="B219" s="11" t="n">
        <v>367156</v>
      </c>
      <c r="C219" s="11" t="inlineStr">
        <is>
          <t>12</t>
        </is>
      </c>
      <c r="D219" s="2" t="inlineStr">
        <is>
          <t>LEMONS</t>
        </is>
      </c>
      <c r="E219" s="9" t="n">
        <v>48</v>
      </c>
      <c r="F219" s="9" t="n">
        <v>768</v>
      </c>
    </row>
    <row r="220">
      <c r="A220" s="6" t="n">
        <v>43795</v>
      </c>
      <c r="B220" s="11" t="n">
        <v>367169</v>
      </c>
      <c r="C220" s="11" t="inlineStr">
        <is>
          <t>12</t>
        </is>
      </c>
      <c r="D220" s="2" t="inlineStr">
        <is>
          <t>LEMONS</t>
        </is>
      </c>
      <c r="E220" s="9" t="n">
        <v>12</v>
      </c>
      <c r="F220" s="9" t="n">
        <v>192</v>
      </c>
    </row>
    <row r="221">
      <c r="A221" s="6" t="n">
        <v>43794</v>
      </c>
      <c r="B221" s="11" t="n">
        <v>366966</v>
      </c>
      <c r="C221" s="11" t="inlineStr">
        <is>
          <t>12</t>
        </is>
      </c>
      <c r="D221" s="2" t="inlineStr">
        <is>
          <t>LEMONS</t>
        </is>
      </c>
      <c r="E221" s="9" t="n">
        <v>24</v>
      </c>
      <c r="F221" s="9" t="n">
        <v>384</v>
      </c>
    </row>
    <row r="222">
      <c r="A222" s="6" t="n">
        <v>43794</v>
      </c>
      <c r="B222" s="11" t="n">
        <v>366967</v>
      </c>
      <c r="C222" s="11" t="inlineStr">
        <is>
          <t>12</t>
        </is>
      </c>
      <c r="D222" s="2" t="inlineStr">
        <is>
          <t>LEMONS</t>
        </is>
      </c>
      <c r="E222" s="9" t="n">
        <v>24</v>
      </c>
      <c r="F222" s="9" t="n">
        <v>384</v>
      </c>
    </row>
    <row r="223">
      <c r="A223" s="6" t="n">
        <v>43794</v>
      </c>
      <c r="B223" s="11" t="n">
        <v>367007</v>
      </c>
      <c r="C223" s="11" t="inlineStr">
        <is>
          <t>12</t>
        </is>
      </c>
      <c r="D223" s="2" t="inlineStr">
        <is>
          <t>LEMONS</t>
        </is>
      </c>
      <c r="E223" s="9" t="n">
        <v>24</v>
      </c>
      <c r="F223" s="9" t="n">
        <v>384</v>
      </c>
    </row>
    <row r="224">
      <c r="A224" s="6" t="n">
        <v>43794</v>
      </c>
      <c r="B224" s="11" t="n">
        <v>367008</v>
      </c>
      <c r="C224" s="11" t="inlineStr">
        <is>
          <t>12</t>
        </is>
      </c>
      <c r="D224" s="2" t="inlineStr">
        <is>
          <t>LEMONS</t>
        </is>
      </c>
      <c r="E224" s="9" t="n">
        <v>24</v>
      </c>
      <c r="F224" s="9" t="n">
        <v>384</v>
      </c>
    </row>
    <row r="225">
      <c r="A225" s="6" t="n">
        <v>43794</v>
      </c>
      <c r="B225" s="11" t="n">
        <v>367015</v>
      </c>
      <c r="C225" s="11" t="inlineStr">
        <is>
          <t>12</t>
        </is>
      </c>
      <c r="D225" s="2" t="inlineStr">
        <is>
          <t>LEMONS</t>
        </is>
      </c>
      <c r="E225" s="9" t="n">
        <v>24</v>
      </c>
      <c r="F225" s="9" t="n">
        <v>384</v>
      </c>
    </row>
    <row r="226">
      <c r="A226" s="6" t="n">
        <v>43794</v>
      </c>
      <c r="B226" s="11" t="n">
        <v>367016</v>
      </c>
      <c r="C226" s="11" t="inlineStr">
        <is>
          <t>12</t>
        </is>
      </c>
      <c r="D226" s="2" t="inlineStr">
        <is>
          <t>LEMONS</t>
        </is>
      </c>
      <c r="E226" s="9" t="n">
        <v>24</v>
      </c>
      <c r="F226" s="9" t="n">
        <v>384</v>
      </c>
    </row>
    <row r="227">
      <c r="A227" s="6" t="n">
        <v>43794</v>
      </c>
      <c r="B227" s="11" t="n">
        <v>367020</v>
      </c>
      <c r="C227" s="11" t="inlineStr">
        <is>
          <t>12</t>
        </is>
      </c>
      <c r="D227" s="2" t="inlineStr">
        <is>
          <t>LEMONS</t>
        </is>
      </c>
      <c r="E227" s="9" t="n">
        <v>24</v>
      </c>
      <c r="F227" s="9" t="n">
        <v>384</v>
      </c>
    </row>
    <row r="228">
      <c r="A228" s="6" t="n">
        <v>43794</v>
      </c>
      <c r="B228" s="11" t="n">
        <v>367021</v>
      </c>
      <c r="C228" s="11" t="inlineStr">
        <is>
          <t>12</t>
        </is>
      </c>
      <c r="D228" s="2" t="inlineStr">
        <is>
          <t>LEMONS</t>
        </is>
      </c>
      <c r="E228" s="9" t="n">
        <v>24</v>
      </c>
      <c r="F228" s="9" t="n">
        <v>384</v>
      </c>
    </row>
    <row r="229">
      <c r="A229" s="6" t="n">
        <v>43794</v>
      </c>
      <c r="B229" s="11" t="n">
        <v>366995</v>
      </c>
      <c r="C229" s="11" t="inlineStr">
        <is>
          <t>2B</t>
        </is>
      </c>
      <c r="D229" s="2" t="inlineStr">
        <is>
          <t>CLEMENTINES</t>
        </is>
      </c>
      <c r="E229" s="9" t="n">
        <v>50</v>
      </c>
      <c r="F229" s="9" t="n">
        <v>800</v>
      </c>
    </row>
    <row r="230">
      <c r="A230" s="6" t="n">
        <v>43794</v>
      </c>
      <c r="B230" s="11" t="n">
        <v>367031</v>
      </c>
      <c r="C230" s="11" t="inlineStr">
        <is>
          <t>2B</t>
        </is>
      </c>
      <c r="D230" s="2" t="inlineStr">
        <is>
          <t>CLEMENTINES</t>
        </is>
      </c>
      <c r="E230" s="9" t="n">
        <v>16</v>
      </c>
      <c r="F230" s="9" t="n">
        <v>256</v>
      </c>
    </row>
    <row r="231">
      <c r="A231" s="6" t="n">
        <v>43923</v>
      </c>
      <c r="B231" s="11" t="n">
        <v>376690</v>
      </c>
      <c r="C231" s="11" t="inlineStr">
        <is>
          <t>2A</t>
        </is>
      </c>
      <c r="D231" s="2" t="inlineStr">
        <is>
          <t>MURCOTTS</t>
        </is>
      </c>
      <c r="E231" s="9" t="n">
        <v>10.25</v>
      </c>
      <c r="F231" s="9" t="n">
        <v>164</v>
      </c>
    </row>
    <row r="232">
      <c r="A232" s="6" t="n">
        <v>43972</v>
      </c>
      <c r="B232" s="11" t="n">
        <v>714964</v>
      </c>
      <c r="C232" s="11" t="inlineStr">
        <is>
          <t>8</t>
        </is>
      </c>
      <c r="D232" s="2" t="inlineStr">
        <is>
          <t>NAVEL</t>
        </is>
      </c>
      <c r="E232" s="9" t="n">
        <v>50</v>
      </c>
      <c r="F232" s="9" t="n">
        <v>800</v>
      </c>
    </row>
    <row r="233">
      <c r="A233" s="6" t="n">
        <v>43972</v>
      </c>
      <c r="B233" s="11" t="n">
        <v>714981</v>
      </c>
      <c r="C233" s="11" t="inlineStr">
        <is>
          <t>8</t>
        </is>
      </c>
      <c r="D233" s="2" t="inlineStr">
        <is>
          <t>NAVEL</t>
        </is>
      </c>
      <c r="E233" s="9" t="n">
        <v>21</v>
      </c>
      <c r="F233" s="9" t="n">
        <v>336</v>
      </c>
    </row>
    <row r="234">
      <c r="A234" s="6" t="n">
        <v>43972</v>
      </c>
      <c r="B234" s="11" t="n">
        <v>714982</v>
      </c>
      <c r="C234" s="11" t="inlineStr">
        <is>
          <t>8</t>
        </is>
      </c>
      <c r="D234" s="2" t="inlineStr">
        <is>
          <t>NAVEL</t>
        </is>
      </c>
      <c r="E234" s="9" t="n">
        <v>23</v>
      </c>
      <c r="F234" s="9" t="n">
        <v>368</v>
      </c>
    </row>
    <row r="235">
      <c r="A235" s="6" t="n">
        <v>43971</v>
      </c>
      <c r="B235" s="11" t="n">
        <v>714936</v>
      </c>
      <c r="C235" s="11" t="inlineStr">
        <is>
          <t>8</t>
        </is>
      </c>
      <c r="D235" s="2" t="inlineStr">
        <is>
          <t>NAVEL</t>
        </is>
      </c>
      <c r="E235" s="9" t="n">
        <v>50</v>
      </c>
      <c r="F235" s="9" t="n">
        <v>800</v>
      </c>
    </row>
    <row r="236">
      <c r="A236" s="6" t="n">
        <v>43971</v>
      </c>
      <c r="B236" s="11" t="n">
        <v>714949</v>
      </c>
      <c r="C236" s="11" t="inlineStr">
        <is>
          <t>8</t>
        </is>
      </c>
      <c r="D236" s="2" t="inlineStr">
        <is>
          <t>NAVEL</t>
        </is>
      </c>
      <c r="E236" s="9" t="n">
        <v>50</v>
      </c>
      <c r="F236" s="9" t="n">
        <v>800</v>
      </c>
    </row>
    <row r="237">
      <c r="A237" s="6" t="n">
        <v>43971</v>
      </c>
      <c r="B237" s="11" t="n">
        <v>714959</v>
      </c>
      <c r="C237" s="11" t="inlineStr">
        <is>
          <t>8</t>
        </is>
      </c>
      <c r="D237" s="2" t="inlineStr">
        <is>
          <t>NAVEL</t>
        </is>
      </c>
      <c r="E237" s="9" t="n">
        <v>37</v>
      </c>
      <c r="F237" s="9" t="n">
        <v>592</v>
      </c>
    </row>
    <row r="238">
      <c r="A238" s="6" t="n">
        <v>43971</v>
      </c>
      <c r="B238" s="11" t="n">
        <v>714960</v>
      </c>
      <c r="C238" s="11" t="inlineStr">
        <is>
          <t>8</t>
        </is>
      </c>
      <c r="D238" s="2" t="inlineStr">
        <is>
          <t>NAVEL</t>
        </is>
      </c>
      <c r="E238" s="9" t="n">
        <v>8</v>
      </c>
      <c r="F238" s="9" t="n">
        <v>128</v>
      </c>
    </row>
    <row r="239">
      <c r="A239" s="6" t="n">
        <v>43603</v>
      </c>
      <c r="B239" s="11" t="n">
        <v>362702</v>
      </c>
      <c r="C239" s="11" t="inlineStr">
        <is>
          <t>10</t>
        </is>
      </c>
      <c r="D239" s="2" t="inlineStr">
        <is>
          <t>NAVEL</t>
        </is>
      </c>
      <c r="E239" s="9" t="n">
        <v>21</v>
      </c>
      <c r="F239" s="9" t="n">
        <v>336</v>
      </c>
    </row>
    <row r="240">
      <c r="A240" s="6" t="n">
        <v>43603</v>
      </c>
      <c r="B240" s="11" t="n">
        <v>362703</v>
      </c>
      <c r="C240" s="11" t="inlineStr">
        <is>
          <t>10</t>
        </is>
      </c>
      <c r="D240" s="2" t="inlineStr">
        <is>
          <t>NAVEL</t>
        </is>
      </c>
      <c r="E240" s="9" t="n">
        <v>19</v>
      </c>
      <c r="F240" s="9" t="n">
        <v>304</v>
      </c>
    </row>
    <row r="241">
      <c r="A241" s="6" t="n">
        <v>43603</v>
      </c>
      <c r="B241" s="11" t="n">
        <v>362704</v>
      </c>
      <c r="C241" s="11" t="inlineStr">
        <is>
          <t>10</t>
        </is>
      </c>
      <c r="D241" s="2" t="inlineStr">
        <is>
          <t>NAVEL</t>
        </is>
      </c>
      <c r="E241" s="9" t="n">
        <v>9</v>
      </c>
      <c r="F241" s="9" t="n">
        <v>144</v>
      </c>
    </row>
    <row r="242">
      <c r="A242" s="6" t="n">
        <v>43603</v>
      </c>
      <c r="B242" s="11" t="n">
        <v>362705</v>
      </c>
      <c r="C242" s="11" t="inlineStr">
        <is>
          <t>10</t>
        </is>
      </c>
      <c r="D242" s="2" t="inlineStr">
        <is>
          <t>NAVEL</t>
        </is>
      </c>
      <c r="E242" s="9" t="n">
        <v>1</v>
      </c>
      <c r="F242" s="9" t="n">
        <v>16</v>
      </c>
    </row>
    <row r="243">
      <c r="A243" s="6" t="n">
        <v>43603</v>
      </c>
      <c r="B243" s="11" t="n">
        <v>362899</v>
      </c>
      <c r="C243" s="11" t="inlineStr">
        <is>
          <t>10</t>
        </is>
      </c>
      <c r="D243" s="2" t="inlineStr">
        <is>
          <t>NAVEL</t>
        </is>
      </c>
      <c r="E243" s="9" t="n">
        <v>30</v>
      </c>
      <c r="F243" s="9" t="n">
        <v>480</v>
      </c>
    </row>
    <row r="244">
      <c r="A244" s="6" t="n">
        <v>43603</v>
      </c>
      <c r="B244" s="11" t="n">
        <v>362900</v>
      </c>
      <c r="C244" s="11" t="inlineStr">
        <is>
          <t>10</t>
        </is>
      </c>
      <c r="D244" s="2" t="inlineStr">
        <is>
          <t>NAVEL</t>
        </is>
      </c>
      <c r="E244" s="9" t="n">
        <v>20</v>
      </c>
      <c r="F244" s="9" t="n">
        <v>320</v>
      </c>
    </row>
    <row r="245">
      <c r="A245" s="6" t="n">
        <v>43603</v>
      </c>
      <c r="B245" s="11" t="n">
        <v>362905</v>
      </c>
      <c r="C245" s="11" t="inlineStr">
        <is>
          <t>10</t>
        </is>
      </c>
      <c r="D245" s="2" t="inlineStr">
        <is>
          <t>NAVEL</t>
        </is>
      </c>
      <c r="E245" s="9" t="n">
        <v>30</v>
      </c>
      <c r="F245" s="9" t="n">
        <v>480</v>
      </c>
    </row>
    <row r="246">
      <c r="A246" s="6" t="n">
        <v>43603</v>
      </c>
      <c r="B246" s="11" t="n">
        <v>362906</v>
      </c>
      <c r="C246" s="11" t="inlineStr">
        <is>
          <t>10</t>
        </is>
      </c>
      <c r="D246" s="2" t="inlineStr">
        <is>
          <t>NAVEL</t>
        </is>
      </c>
      <c r="E246" s="9" t="n">
        <v>20</v>
      </c>
      <c r="F246" s="9" t="n">
        <v>320</v>
      </c>
    </row>
    <row r="247">
      <c r="A247" s="6" t="n">
        <v>43603</v>
      </c>
      <c r="B247" s="11" t="n">
        <v>362913</v>
      </c>
      <c r="C247" s="11" t="inlineStr">
        <is>
          <t>10</t>
        </is>
      </c>
      <c r="D247" s="2" t="inlineStr">
        <is>
          <t>NAVEL</t>
        </is>
      </c>
      <c r="E247" s="9" t="n">
        <v>26</v>
      </c>
      <c r="F247" s="9" t="n">
        <v>416</v>
      </c>
    </row>
    <row r="248">
      <c r="A248" s="6" t="n">
        <v>43603</v>
      </c>
      <c r="B248" s="11" t="n">
        <v>362914</v>
      </c>
      <c r="C248" s="11" t="inlineStr">
        <is>
          <t>10</t>
        </is>
      </c>
      <c r="D248" s="2" t="inlineStr">
        <is>
          <t>NAVEL</t>
        </is>
      </c>
      <c r="E248" s="9" t="n">
        <v>24</v>
      </c>
      <c r="F248" s="9" t="n">
        <v>384</v>
      </c>
    </row>
    <row r="249">
      <c r="A249" s="6" t="n">
        <v>43603</v>
      </c>
      <c r="B249" s="11" t="n">
        <v>362919</v>
      </c>
      <c r="C249" s="11" t="inlineStr">
        <is>
          <t>10</t>
        </is>
      </c>
      <c r="D249" s="2" t="inlineStr">
        <is>
          <t>NAVEL</t>
        </is>
      </c>
      <c r="E249" s="9" t="n">
        <v>26</v>
      </c>
      <c r="F249" s="9" t="n">
        <v>416</v>
      </c>
    </row>
    <row r="250">
      <c r="A250" s="6" t="n">
        <v>43603</v>
      </c>
      <c r="B250" s="11" t="n">
        <v>362921</v>
      </c>
      <c r="C250" s="11" t="inlineStr">
        <is>
          <t>10</t>
        </is>
      </c>
      <c r="D250" s="2" t="inlineStr">
        <is>
          <t>NAVEL</t>
        </is>
      </c>
      <c r="E250" s="9" t="n">
        <v>24</v>
      </c>
      <c r="F250" s="9" t="n">
        <v>384</v>
      </c>
    </row>
    <row r="251">
      <c r="A251" s="6" t="n">
        <v>43603</v>
      </c>
      <c r="B251" s="11" t="n">
        <v>362924</v>
      </c>
      <c r="C251" s="11" t="inlineStr">
        <is>
          <t>10</t>
        </is>
      </c>
      <c r="D251" s="2" t="inlineStr">
        <is>
          <t>NAVEL</t>
        </is>
      </c>
      <c r="E251" s="9" t="n">
        <v>33</v>
      </c>
      <c r="F251" s="9" t="n">
        <v>528</v>
      </c>
    </row>
    <row r="252">
      <c r="A252" s="6" t="n">
        <v>43603</v>
      </c>
      <c r="B252" s="11" t="n">
        <v>362925</v>
      </c>
      <c r="C252" s="11" t="inlineStr">
        <is>
          <t>10</t>
        </is>
      </c>
      <c r="D252" s="2" t="inlineStr">
        <is>
          <t>NAVEL</t>
        </is>
      </c>
      <c r="E252" s="9" t="n">
        <v>17</v>
      </c>
      <c r="F252" s="9" t="n">
        <v>272</v>
      </c>
    </row>
    <row r="253">
      <c r="A253" s="6" t="n">
        <v>43603</v>
      </c>
      <c r="B253" s="11" t="n">
        <v>362930</v>
      </c>
      <c r="C253" s="11" t="inlineStr">
        <is>
          <t>10</t>
        </is>
      </c>
      <c r="D253" s="2" t="inlineStr">
        <is>
          <t>NAVEL</t>
        </is>
      </c>
      <c r="E253" s="9" t="n">
        <v>20</v>
      </c>
      <c r="F253" s="9" t="n">
        <v>320</v>
      </c>
    </row>
    <row r="254">
      <c r="A254" s="6" t="n">
        <v>43603</v>
      </c>
      <c r="B254" s="11" t="n">
        <v>362931</v>
      </c>
      <c r="C254" s="11" t="inlineStr">
        <is>
          <t>10</t>
        </is>
      </c>
      <c r="D254" s="2" t="inlineStr">
        <is>
          <t>NAVEL</t>
        </is>
      </c>
      <c r="E254" s="9" t="n">
        <v>15</v>
      </c>
      <c r="F254" s="9" t="n">
        <v>240</v>
      </c>
    </row>
    <row r="255">
      <c r="A255" s="6" t="n">
        <v>43603</v>
      </c>
      <c r="B255" s="11" t="n">
        <v>362932</v>
      </c>
      <c r="C255" s="11" t="inlineStr">
        <is>
          <t>10</t>
        </is>
      </c>
      <c r="D255" s="2" t="inlineStr">
        <is>
          <t>NAVEL</t>
        </is>
      </c>
      <c r="E255" s="9" t="n">
        <v>15</v>
      </c>
      <c r="F255" s="9" t="n">
        <v>240</v>
      </c>
    </row>
    <row r="256">
      <c r="A256" s="6" t="n">
        <v>43603</v>
      </c>
      <c r="B256" s="11" t="n">
        <v>362939</v>
      </c>
      <c r="C256" s="11" t="inlineStr">
        <is>
          <t>10</t>
        </is>
      </c>
      <c r="D256" s="2" t="inlineStr">
        <is>
          <t>NAVEL</t>
        </is>
      </c>
      <c r="E256" s="9" t="n">
        <v>24</v>
      </c>
      <c r="F256" s="9" t="n">
        <v>384</v>
      </c>
    </row>
    <row r="257">
      <c r="A257" s="6" t="n">
        <v>43603</v>
      </c>
      <c r="B257" s="11" t="n">
        <v>362940</v>
      </c>
      <c r="C257" s="11" t="inlineStr">
        <is>
          <t>10</t>
        </is>
      </c>
      <c r="D257" s="2" t="inlineStr">
        <is>
          <t>NAVEL</t>
        </is>
      </c>
      <c r="E257" s="9" t="n">
        <v>18</v>
      </c>
      <c r="F257" s="9" t="n">
        <v>288</v>
      </c>
    </row>
    <row r="258">
      <c r="A258" s="6" t="n">
        <v>43603</v>
      </c>
      <c r="B258" s="11" t="n">
        <v>362941</v>
      </c>
      <c r="C258" s="11" t="inlineStr">
        <is>
          <t>10</t>
        </is>
      </c>
      <c r="D258" s="2" t="inlineStr">
        <is>
          <t>NAVEL</t>
        </is>
      </c>
      <c r="E258" s="9" t="n">
        <v>8</v>
      </c>
      <c r="F258" s="9" t="n">
        <v>128</v>
      </c>
    </row>
    <row r="259">
      <c r="A259" s="6" t="n">
        <v>43603</v>
      </c>
      <c r="B259" s="11" t="n">
        <v>709443</v>
      </c>
      <c r="C259" s="11" t="inlineStr">
        <is>
          <t>10</t>
        </is>
      </c>
      <c r="D259" s="2" t="inlineStr">
        <is>
          <t>NAVEL</t>
        </is>
      </c>
      <c r="E259" s="9" t="n">
        <v>3</v>
      </c>
      <c r="F259" s="9" t="n">
        <v>48</v>
      </c>
    </row>
    <row r="260">
      <c r="A260" s="6" t="n">
        <v>43220</v>
      </c>
      <c r="B260" s="11" t="n">
        <v>116937</v>
      </c>
      <c r="C260" s="11" t="inlineStr">
        <is>
          <t>10</t>
        </is>
      </c>
      <c r="D260" s="2" t="inlineStr">
        <is>
          <t>NAVEL</t>
        </is>
      </c>
      <c r="E260" s="9" t="n">
        <v>50</v>
      </c>
      <c r="F260" s="9" t="n">
        <v>800</v>
      </c>
    </row>
    <row r="261">
      <c r="A261" s="6" t="n">
        <v>43220</v>
      </c>
      <c r="B261" s="11" t="n">
        <v>116944</v>
      </c>
      <c r="C261" s="11" t="inlineStr">
        <is>
          <t>10</t>
        </is>
      </c>
      <c r="D261" s="2" t="inlineStr">
        <is>
          <t>NAVEL</t>
        </is>
      </c>
      <c r="E261" s="9" t="n">
        <v>50</v>
      </c>
      <c r="F261" s="9" t="n">
        <v>800</v>
      </c>
    </row>
    <row r="262">
      <c r="A262" s="6" t="n">
        <v>43220</v>
      </c>
      <c r="B262" s="11" t="n">
        <v>116949</v>
      </c>
      <c r="C262" s="11" t="inlineStr">
        <is>
          <t>10</t>
        </is>
      </c>
      <c r="D262" s="2" t="inlineStr">
        <is>
          <t>NAVEL</t>
        </is>
      </c>
      <c r="E262" s="9" t="n">
        <v>14</v>
      </c>
      <c r="F262" s="9" t="n">
        <v>224</v>
      </c>
    </row>
    <row r="263">
      <c r="A263" s="6" t="n">
        <v>43152</v>
      </c>
      <c r="B263" s="11" t="n">
        <v>254681</v>
      </c>
      <c r="C263" s="11" t="inlineStr">
        <is>
          <t>3</t>
        </is>
      </c>
      <c r="D263" s="2" t="inlineStr">
        <is>
          <t>NAVEL</t>
        </is>
      </c>
      <c r="E263" s="9" t="n">
        <v>50</v>
      </c>
      <c r="F263" s="9" t="n">
        <v>800</v>
      </c>
    </row>
    <row r="264">
      <c r="A264" s="6" t="n">
        <v>43152</v>
      </c>
      <c r="B264" s="11" t="n">
        <v>254688</v>
      </c>
      <c r="C264" s="11" t="inlineStr">
        <is>
          <t>3</t>
        </is>
      </c>
      <c r="D264" s="2" t="inlineStr">
        <is>
          <t>NAVEL</t>
        </is>
      </c>
      <c r="E264" s="9" t="n">
        <v>50</v>
      </c>
      <c r="F264" s="9" t="n">
        <v>800</v>
      </c>
    </row>
    <row r="265">
      <c r="A265" s="6" t="n">
        <v>43152</v>
      </c>
      <c r="B265" s="11" t="n">
        <v>254691</v>
      </c>
      <c r="C265" s="11" t="inlineStr">
        <is>
          <t>3</t>
        </is>
      </c>
      <c r="D265" s="2" t="inlineStr">
        <is>
          <t>NAVEL</t>
        </is>
      </c>
      <c r="E265" s="9" t="n">
        <v>50</v>
      </c>
      <c r="F265" s="9" t="n">
        <v>800</v>
      </c>
    </row>
    <row r="266">
      <c r="A266" s="6" t="n">
        <v>43152</v>
      </c>
      <c r="B266" s="11" t="n">
        <v>254694</v>
      </c>
      <c r="C266" s="11" t="inlineStr">
        <is>
          <t>3</t>
        </is>
      </c>
      <c r="D266" s="2" t="inlineStr">
        <is>
          <t>NAVEL</t>
        </is>
      </c>
      <c r="E266" s="9" t="n">
        <v>11.25</v>
      </c>
      <c r="F266" s="9" t="n">
        <v>180</v>
      </c>
    </row>
    <row r="267">
      <c r="A267" s="6" t="n">
        <v>43151</v>
      </c>
      <c r="B267" s="11" t="n">
        <v>254711</v>
      </c>
      <c r="C267" s="11" t="inlineStr">
        <is>
          <t>3</t>
        </is>
      </c>
      <c r="D267" s="2" t="inlineStr">
        <is>
          <t>NAVEL</t>
        </is>
      </c>
      <c r="E267" s="9" t="n">
        <v>26</v>
      </c>
      <c r="F267" s="9" t="n">
        <v>416</v>
      </c>
    </row>
    <row r="268">
      <c r="A268" s="6" t="n">
        <v>43151</v>
      </c>
      <c r="B268" s="11" t="n">
        <v>254712</v>
      </c>
      <c r="C268" s="11" t="inlineStr">
        <is>
          <t>3</t>
        </is>
      </c>
      <c r="D268" s="2" t="inlineStr">
        <is>
          <t>NAVEL</t>
        </is>
      </c>
      <c r="E268" s="9" t="n">
        <v>24</v>
      </c>
      <c r="F268" s="9" t="n">
        <v>384</v>
      </c>
    </row>
    <row r="269">
      <c r="A269" s="6" t="n">
        <v>43151</v>
      </c>
      <c r="B269" s="11" t="n">
        <v>254713</v>
      </c>
      <c r="C269" s="11" t="inlineStr">
        <is>
          <t>3</t>
        </is>
      </c>
      <c r="D269" s="2" t="inlineStr">
        <is>
          <t>NAVEL</t>
        </is>
      </c>
      <c r="E269" s="9" t="n">
        <v>50</v>
      </c>
      <c r="F269" s="9" t="n">
        <v>800</v>
      </c>
    </row>
    <row r="270">
      <c r="A270" s="6" t="n">
        <v>43151</v>
      </c>
      <c r="B270" s="11" t="n">
        <v>938331</v>
      </c>
      <c r="C270" s="11" t="inlineStr">
        <is>
          <t>3</t>
        </is>
      </c>
      <c r="D270" s="2" t="inlineStr">
        <is>
          <t>NAVEL</t>
        </is>
      </c>
      <c r="E270" s="9" t="n">
        <v>50</v>
      </c>
      <c r="F270" s="9" t="n">
        <v>800</v>
      </c>
    </row>
    <row r="271">
      <c r="A271" s="6" t="n">
        <v>43151</v>
      </c>
      <c r="B271" s="11" t="n">
        <v>938344</v>
      </c>
      <c r="C271" s="11" t="inlineStr">
        <is>
          <t>3</t>
        </is>
      </c>
      <c r="D271" s="2" t="inlineStr">
        <is>
          <t>NAVEL</t>
        </is>
      </c>
      <c r="E271" s="9" t="n">
        <v>24</v>
      </c>
      <c r="F271" s="9" t="n">
        <v>384</v>
      </c>
    </row>
    <row r="272">
      <c r="A272" s="6" t="n">
        <v>43151</v>
      </c>
      <c r="B272" s="11" t="n">
        <v>938345</v>
      </c>
      <c r="C272" s="11" t="inlineStr">
        <is>
          <t>3</t>
        </is>
      </c>
      <c r="D272" s="2" t="inlineStr">
        <is>
          <t>NAVEL</t>
        </is>
      </c>
      <c r="E272" s="9" t="n">
        <v>26</v>
      </c>
      <c r="F272" s="9" t="n">
        <v>416</v>
      </c>
    </row>
    <row r="273">
      <c r="A273" s="6" t="n">
        <v>43151</v>
      </c>
      <c r="B273" s="11" t="n">
        <v>938346</v>
      </c>
      <c r="C273" s="11" t="inlineStr">
        <is>
          <t>3</t>
        </is>
      </c>
      <c r="D273" s="2" t="inlineStr">
        <is>
          <t>NAVEL</t>
        </is>
      </c>
      <c r="E273" s="9" t="n">
        <v>50</v>
      </c>
      <c r="F273" s="9" t="n">
        <v>800</v>
      </c>
    </row>
    <row r="274">
      <c r="A274" s="6" t="n">
        <v>43150</v>
      </c>
      <c r="B274" s="11" t="n">
        <v>939033</v>
      </c>
      <c r="C274" s="11" t="inlineStr">
        <is>
          <t>3</t>
        </is>
      </c>
      <c r="D274" s="2" t="inlineStr">
        <is>
          <t>NAVEL</t>
        </is>
      </c>
      <c r="E274" s="9" t="n">
        <v>50</v>
      </c>
      <c r="F274" s="9" t="n">
        <v>800</v>
      </c>
    </row>
    <row r="275">
      <c r="A275" s="6" t="n">
        <v>43150</v>
      </c>
      <c r="B275" s="11" t="n">
        <v>939064</v>
      </c>
      <c r="C275" s="11" t="inlineStr">
        <is>
          <t>3</t>
        </is>
      </c>
      <c r="D275" s="2" t="inlineStr">
        <is>
          <t>NAVEL</t>
        </is>
      </c>
      <c r="E275" s="9" t="n">
        <v>50</v>
      </c>
      <c r="F275" s="9" t="n">
        <v>800</v>
      </c>
    </row>
    <row r="276">
      <c r="A276" s="6" t="n">
        <v>43150</v>
      </c>
      <c r="B276" s="11" t="n">
        <v>939071</v>
      </c>
      <c r="C276" s="11" t="inlineStr">
        <is>
          <t>3</t>
        </is>
      </c>
      <c r="D276" s="2" t="inlineStr">
        <is>
          <t>NAVEL</t>
        </is>
      </c>
      <c r="E276" s="9" t="n">
        <v>50</v>
      </c>
      <c r="F276" s="9" t="n">
        <v>800</v>
      </c>
    </row>
    <row r="277">
      <c r="A277" s="6" t="n">
        <v>43228</v>
      </c>
      <c r="B277" s="11" t="n">
        <v>937386</v>
      </c>
      <c r="C277" s="11" t="inlineStr">
        <is>
          <t>8</t>
        </is>
      </c>
      <c r="D277" s="2" t="inlineStr">
        <is>
          <t>NAVEL</t>
        </is>
      </c>
      <c r="E277" s="9" t="n">
        <v>24</v>
      </c>
      <c r="F277" s="9" t="n">
        <v>384</v>
      </c>
    </row>
    <row r="278">
      <c r="A278" s="6" t="n">
        <v>43228</v>
      </c>
      <c r="B278" s="11" t="n">
        <v>937388</v>
      </c>
      <c r="C278" s="11" t="inlineStr">
        <is>
          <t>8</t>
        </is>
      </c>
      <c r="D278" s="2" t="inlineStr">
        <is>
          <t>NAVEL</t>
        </is>
      </c>
      <c r="E278" s="9" t="n">
        <v>26</v>
      </c>
      <c r="F278" s="9" t="n">
        <v>416</v>
      </c>
    </row>
    <row r="279">
      <c r="A279" s="6" t="n">
        <v>43228</v>
      </c>
      <c r="B279" s="11" t="n">
        <v>937391</v>
      </c>
      <c r="C279" s="11" t="inlineStr">
        <is>
          <t>8</t>
        </is>
      </c>
      <c r="D279" s="2" t="inlineStr">
        <is>
          <t>NAVEL</t>
        </is>
      </c>
      <c r="E279" s="9" t="n">
        <v>24</v>
      </c>
      <c r="F279" s="9" t="n">
        <v>384</v>
      </c>
    </row>
    <row r="280">
      <c r="A280" s="6" t="n">
        <v>43228</v>
      </c>
      <c r="B280" s="11" t="n">
        <v>937392</v>
      </c>
      <c r="C280" s="11" t="inlineStr">
        <is>
          <t>8</t>
        </is>
      </c>
      <c r="D280" s="2" t="inlineStr">
        <is>
          <t>NAVEL</t>
        </is>
      </c>
      <c r="E280" s="9" t="n">
        <v>26</v>
      </c>
      <c r="F280" s="9" t="n">
        <v>416</v>
      </c>
    </row>
    <row r="281">
      <c r="A281" s="6" t="n">
        <v>43228</v>
      </c>
      <c r="B281" s="11" t="n">
        <v>937399</v>
      </c>
      <c r="C281" s="11" t="inlineStr">
        <is>
          <t>8</t>
        </is>
      </c>
      <c r="D281" s="2" t="inlineStr">
        <is>
          <t>NAVEL</t>
        </is>
      </c>
      <c r="E281" s="9" t="n">
        <v>50</v>
      </c>
      <c r="F281" s="9" t="n">
        <v>800</v>
      </c>
    </row>
    <row r="282">
      <c r="A282" s="6" t="n">
        <v>43228</v>
      </c>
      <c r="B282" s="11" t="n">
        <v>937406</v>
      </c>
      <c r="C282" s="11" t="inlineStr">
        <is>
          <t>8</t>
        </is>
      </c>
      <c r="D282" s="2" t="inlineStr">
        <is>
          <t>NAVEL</t>
        </is>
      </c>
      <c r="E282" s="9" t="n">
        <v>50</v>
      </c>
      <c r="F282" s="9" t="n">
        <v>800</v>
      </c>
    </row>
    <row r="283">
      <c r="A283" s="6" t="n">
        <v>43228</v>
      </c>
      <c r="B283" s="11" t="n">
        <v>937413</v>
      </c>
      <c r="C283" s="11" t="inlineStr">
        <is>
          <t>8</t>
        </is>
      </c>
      <c r="D283" s="2" t="inlineStr">
        <is>
          <t>NAVEL</t>
        </is>
      </c>
      <c r="E283" s="9" t="n">
        <v>14</v>
      </c>
      <c r="F283" s="9" t="n">
        <v>224</v>
      </c>
    </row>
    <row r="284">
      <c r="A284" s="6" t="n">
        <v>43228</v>
      </c>
      <c r="B284" s="11" t="n">
        <v>937414</v>
      </c>
      <c r="C284" s="11" t="inlineStr">
        <is>
          <t>8</t>
        </is>
      </c>
      <c r="D284" s="2" t="inlineStr">
        <is>
          <t>NAVEL</t>
        </is>
      </c>
      <c r="E284" s="9" t="n">
        <v>36</v>
      </c>
      <c r="F284" s="9" t="n">
        <v>576</v>
      </c>
    </row>
    <row r="285">
      <c r="A285" s="6" t="n">
        <v>43228</v>
      </c>
      <c r="B285" s="11" t="n">
        <v>937419</v>
      </c>
      <c r="C285" s="11" t="inlineStr">
        <is>
          <t>8</t>
        </is>
      </c>
      <c r="D285" s="2" t="inlineStr">
        <is>
          <t>NAVEL</t>
        </is>
      </c>
      <c r="E285" s="9" t="n">
        <v>50</v>
      </c>
      <c r="F285" s="9" t="n">
        <v>800</v>
      </c>
    </row>
    <row r="286">
      <c r="A286" s="6" t="n">
        <v>43228</v>
      </c>
      <c r="B286" s="11" t="n">
        <v>937430</v>
      </c>
      <c r="C286" s="11" t="inlineStr">
        <is>
          <t>8</t>
        </is>
      </c>
      <c r="D286" s="2" t="inlineStr">
        <is>
          <t>NAVEL</t>
        </is>
      </c>
      <c r="E286" s="9" t="n">
        <v>18</v>
      </c>
      <c r="F286" s="9" t="n">
        <v>288</v>
      </c>
    </row>
    <row r="287">
      <c r="A287" s="6" t="n">
        <v>43225</v>
      </c>
      <c r="B287" s="11" t="n">
        <v>116390</v>
      </c>
      <c r="C287" s="11" t="inlineStr">
        <is>
          <t>8</t>
        </is>
      </c>
      <c r="D287" s="2" t="inlineStr">
        <is>
          <t>NAVEL</t>
        </is>
      </c>
      <c r="E287" s="9" t="n">
        <v>24</v>
      </c>
      <c r="F287" s="9" t="n">
        <v>384</v>
      </c>
    </row>
    <row r="288">
      <c r="A288" s="6" t="n">
        <v>43225</v>
      </c>
      <c r="B288" s="11" t="n">
        <v>116391</v>
      </c>
      <c r="C288" s="11" t="inlineStr">
        <is>
          <t>8</t>
        </is>
      </c>
      <c r="D288" s="2" t="inlineStr">
        <is>
          <t>NAVEL</t>
        </is>
      </c>
      <c r="E288" s="9" t="n">
        <v>26</v>
      </c>
      <c r="F288" s="9" t="n">
        <v>416</v>
      </c>
    </row>
    <row r="289">
      <c r="A289" s="6" t="n">
        <v>43225</v>
      </c>
      <c r="B289" s="11" t="n">
        <v>116392</v>
      </c>
      <c r="C289" s="11" t="inlineStr">
        <is>
          <t>8</t>
        </is>
      </c>
      <c r="D289" s="2" t="inlineStr">
        <is>
          <t>NAVEL</t>
        </is>
      </c>
      <c r="E289" s="9" t="n">
        <v>26</v>
      </c>
      <c r="F289" s="9" t="n">
        <v>416</v>
      </c>
    </row>
    <row r="290">
      <c r="A290" s="6" t="n">
        <v>43225</v>
      </c>
      <c r="B290" s="11" t="n">
        <v>116393</v>
      </c>
      <c r="C290" s="11" t="inlineStr">
        <is>
          <t>8</t>
        </is>
      </c>
      <c r="D290" s="2" t="inlineStr">
        <is>
          <t>NAVEL</t>
        </is>
      </c>
      <c r="E290" s="9" t="n">
        <v>24</v>
      </c>
      <c r="F290" s="9" t="n">
        <v>384</v>
      </c>
    </row>
    <row r="291">
      <c r="A291" s="6" t="n">
        <v>43225</v>
      </c>
      <c r="B291" s="11" t="n">
        <v>116397</v>
      </c>
      <c r="C291" s="11" t="inlineStr">
        <is>
          <t>8</t>
        </is>
      </c>
      <c r="D291" s="2" t="inlineStr">
        <is>
          <t>NAVEL</t>
        </is>
      </c>
      <c r="E291" s="9" t="n">
        <v>25</v>
      </c>
      <c r="F291" s="9" t="n">
        <v>400</v>
      </c>
    </row>
    <row r="292">
      <c r="A292" s="6" t="n">
        <v>43225</v>
      </c>
      <c r="B292" s="11" t="n">
        <v>116398</v>
      </c>
      <c r="C292" s="11" t="inlineStr">
        <is>
          <t>8</t>
        </is>
      </c>
      <c r="D292" s="2" t="inlineStr">
        <is>
          <t>NAVEL</t>
        </is>
      </c>
      <c r="E292" s="9" t="n">
        <v>25</v>
      </c>
      <c r="F292" s="9" t="n">
        <v>400</v>
      </c>
    </row>
    <row r="293">
      <c r="A293" s="6" t="n">
        <v>43225</v>
      </c>
      <c r="B293" s="11" t="n">
        <v>116404</v>
      </c>
      <c r="C293" s="11" t="inlineStr">
        <is>
          <t>8</t>
        </is>
      </c>
      <c r="D293" s="2" t="inlineStr">
        <is>
          <t>NAVEL</t>
        </is>
      </c>
      <c r="E293" s="9" t="n">
        <v>50</v>
      </c>
      <c r="F293" s="9" t="n">
        <v>800</v>
      </c>
    </row>
    <row r="294">
      <c r="A294" s="6" t="n">
        <v>43225</v>
      </c>
      <c r="B294" s="11" t="n">
        <v>116405</v>
      </c>
      <c r="C294" s="11" t="inlineStr">
        <is>
          <t>8</t>
        </is>
      </c>
      <c r="D294" s="2" t="inlineStr">
        <is>
          <t>NAVEL</t>
        </is>
      </c>
      <c r="E294" s="9" t="n">
        <v>50</v>
      </c>
      <c r="F294" s="9" t="n">
        <v>800</v>
      </c>
    </row>
    <row r="295">
      <c r="A295" s="6" t="n">
        <v>43221</v>
      </c>
      <c r="B295" s="11" t="n">
        <v>937263</v>
      </c>
      <c r="C295" s="11" t="inlineStr">
        <is>
          <t>8</t>
        </is>
      </c>
      <c r="D295" s="2" t="inlineStr">
        <is>
          <t>NAVEL</t>
        </is>
      </c>
      <c r="E295" s="9" t="n">
        <v>50</v>
      </c>
      <c r="F295" s="9" t="n">
        <v>800</v>
      </c>
    </row>
    <row r="296">
      <c r="A296" s="6" t="n">
        <v>43221</v>
      </c>
      <c r="B296" s="11" t="n">
        <v>937274</v>
      </c>
      <c r="C296" s="11" t="inlineStr">
        <is>
          <t>8</t>
        </is>
      </c>
      <c r="D296" s="2" t="inlineStr">
        <is>
          <t>NAVEL</t>
        </is>
      </c>
      <c r="E296" s="9" t="n">
        <v>50</v>
      </c>
      <c r="F296" s="9" t="n">
        <v>800</v>
      </c>
    </row>
    <row r="297">
      <c r="A297" s="6" t="n">
        <v>42866</v>
      </c>
      <c r="B297" s="11" t="n">
        <v>112878</v>
      </c>
      <c r="C297" s="11" t="inlineStr">
        <is>
          <t>3</t>
        </is>
      </c>
      <c r="D297" s="2" t="inlineStr">
        <is>
          <t>NAVEL</t>
        </is>
      </c>
      <c r="E297" s="9" t="n">
        <v>50</v>
      </c>
      <c r="F297" s="9" t="n">
        <v>800</v>
      </c>
    </row>
    <row r="298">
      <c r="A298" s="6" t="n">
        <v>42866</v>
      </c>
      <c r="B298" s="11" t="n">
        <v>112895</v>
      </c>
      <c r="C298" s="11" t="inlineStr">
        <is>
          <t>3</t>
        </is>
      </c>
      <c r="D298" s="2" t="inlineStr">
        <is>
          <t>NAVEL</t>
        </is>
      </c>
      <c r="E298" s="9" t="n">
        <v>50</v>
      </c>
      <c r="F298" s="9" t="n">
        <v>800</v>
      </c>
    </row>
    <row r="299">
      <c r="A299" s="6" t="n">
        <v>42868</v>
      </c>
      <c r="B299" s="11" t="n">
        <v>112913</v>
      </c>
      <c r="C299" s="11" t="inlineStr">
        <is>
          <t>3</t>
        </is>
      </c>
      <c r="D299" s="2" t="inlineStr">
        <is>
          <t>NAVEL</t>
        </is>
      </c>
      <c r="E299" s="9" t="n">
        <v>50</v>
      </c>
      <c r="F299" s="9" t="n">
        <v>800</v>
      </c>
    </row>
    <row r="300">
      <c r="A300" s="6" t="n">
        <v>42868</v>
      </c>
      <c r="B300" s="11" t="n">
        <v>112929</v>
      </c>
      <c r="C300" s="11" t="inlineStr">
        <is>
          <t>3</t>
        </is>
      </c>
      <c r="D300" s="2" t="inlineStr">
        <is>
          <t>NAVEL</t>
        </is>
      </c>
      <c r="E300" s="9" t="n">
        <v>50</v>
      </c>
      <c r="F300" s="9" t="n">
        <v>800</v>
      </c>
    </row>
    <row r="301">
      <c r="A301" s="6" t="n">
        <v>42870</v>
      </c>
      <c r="B301" s="11" t="n">
        <v>112940</v>
      </c>
      <c r="C301" s="11" t="inlineStr">
        <is>
          <t>3</t>
        </is>
      </c>
      <c r="D301" s="2" t="inlineStr">
        <is>
          <t>NAVEL</t>
        </is>
      </c>
      <c r="E301" s="9" t="n">
        <v>50</v>
      </c>
      <c r="F301" s="9" t="n">
        <v>800</v>
      </c>
    </row>
    <row r="302">
      <c r="A302" s="6" t="n">
        <v>42871</v>
      </c>
      <c r="B302" s="11" t="n">
        <v>112957</v>
      </c>
      <c r="C302" s="11" t="inlineStr">
        <is>
          <t>3</t>
        </is>
      </c>
      <c r="D302" s="2" t="inlineStr">
        <is>
          <t>NAVEL</t>
        </is>
      </c>
      <c r="E302" s="9" t="n">
        <v>26</v>
      </c>
      <c r="F302" s="9" t="n">
        <v>416</v>
      </c>
    </row>
    <row r="303">
      <c r="A303" s="6" t="n">
        <v>42871</v>
      </c>
      <c r="B303" s="11" t="n">
        <v>112958</v>
      </c>
      <c r="C303" s="11" t="inlineStr">
        <is>
          <t>3</t>
        </is>
      </c>
      <c r="D303" s="2" t="inlineStr">
        <is>
          <t>NAVEL</t>
        </is>
      </c>
      <c r="E303" s="9" t="n">
        <v>24</v>
      </c>
      <c r="F303" s="9" t="n">
        <v>384</v>
      </c>
    </row>
    <row r="304">
      <c r="A304" s="6" t="n">
        <v>42871</v>
      </c>
      <c r="B304" s="11" t="n">
        <v>112961</v>
      </c>
      <c r="C304" s="11" t="inlineStr">
        <is>
          <t>3</t>
        </is>
      </c>
      <c r="D304" s="2" t="inlineStr">
        <is>
          <t>NAVEL</t>
        </is>
      </c>
      <c r="E304" s="9" t="n">
        <v>24</v>
      </c>
      <c r="F304" s="9" t="n">
        <v>384</v>
      </c>
    </row>
    <row r="305">
      <c r="A305" s="6" t="n">
        <v>42871</v>
      </c>
      <c r="B305" s="11" t="n">
        <v>112962</v>
      </c>
      <c r="C305" s="11" t="inlineStr">
        <is>
          <t>3</t>
        </is>
      </c>
      <c r="D305" s="2" t="inlineStr">
        <is>
          <t>NAVEL</t>
        </is>
      </c>
      <c r="E305" s="9" t="n">
        <v>26</v>
      </c>
      <c r="F305" s="9" t="n">
        <v>416</v>
      </c>
    </row>
    <row r="306">
      <c r="A306" s="6" t="n">
        <v>42871</v>
      </c>
      <c r="B306" s="11" t="n">
        <v>112972</v>
      </c>
      <c r="C306" s="11" t="inlineStr">
        <is>
          <t>3</t>
        </is>
      </c>
      <c r="D306" s="2" t="inlineStr">
        <is>
          <t>NAVEL</t>
        </is>
      </c>
      <c r="E306" s="9" t="n">
        <v>25</v>
      </c>
      <c r="F306" s="9" t="n">
        <v>400</v>
      </c>
    </row>
    <row r="307">
      <c r="A307" s="6" t="n">
        <v>42871</v>
      </c>
      <c r="B307" s="11" t="n">
        <v>112973</v>
      </c>
      <c r="C307" s="11" t="inlineStr">
        <is>
          <t>3</t>
        </is>
      </c>
      <c r="D307" s="2" t="inlineStr">
        <is>
          <t>NAVEL</t>
        </is>
      </c>
      <c r="E307" s="9" t="n">
        <v>25</v>
      </c>
      <c r="F307" s="9" t="n">
        <v>400</v>
      </c>
    </row>
    <row r="308">
      <c r="A308" s="6" t="n">
        <v>42871</v>
      </c>
      <c r="B308" s="11" t="n">
        <v>112980</v>
      </c>
      <c r="C308" s="11" t="inlineStr">
        <is>
          <t>3</t>
        </is>
      </c>
      <c r="D308" s="2" t="inlineStr">
        <is>
          <t>NAVEL</t>
        </is>
      </c>
      <c r="E308" s="9" t="n">
        <v>44</v>
      </c>
      <c r="F308" s="9" t="n">
        <v>704</v>
      </c>
    </row>
    <row r="309">
      <c r="A309" s="6" t="n">
        <v>42830</v>
      </c>
      <c r="B309" s="11" t="n">
        <v>933888</v>
      </c>
      <c r="C309" s="11" t="inlineStr">
        <is>
          <t>8</t>
        </is>
      </c>
      <c r="D309" s="2" t="inlineStr">
        <is>
          <t>NAVEL</t>
        </is>
      </c>
      <c r="E309" s="9" t="n">
        <v>50</v>
      </c>
      <c r="F309" s="9" t="n">
        <v>800</v>
      </c>
    </row>
    <row r="310">
      <c r="A310" s="6" t="n">
        <v>42830</v>
      </c>
      <c r="B310" s="11" t="n">
        <v>933896</v>
      </c>
      <c r="C310" s="11" t="inlineStr">
        <is>
          <t>8</t>
        </is>
      </c>
      <c r="D310" s="2" t="inlineStr">
        <is>
          <t>NAVEL</t>
        </is>
      </c>
      <c r="E310" s="9" t="n">
        <v>50</v>
      </c>
      <c r="F310" s="9" t="n">
        <v>800</v>
      </c>
    </row>
    <row r="311">
      <c r="A311" s="6" t="n">
        <v>42830</v>
      </c>
      <c r="B311" s="11" t="n">
        <v>933907</v>
      </c>
      <c r="C311" s="11" t="inlineStr">
        <is>
          <t>8</t>
        </is>
      </c>
      <c r="D311" s="2" t="inlineStr">
        <is>
          <t>NAVEL</t>
        </is>
      </c>
      <c r="E311" s="9" t="n">
        <v>50</v>
      </c>
      <c r="F311" s="9" t="n">
        <v>800</v>
      </c>
    </row>
    <row r="312">
      <c r="A312" s="6" t="n">
        <v>42830</v>
      </c>
      <c r="B312" s="11" t="n">
        <v>933919</v>
      </c>
      <c r="C312" s="11" t="inlineStr">
        <is>
          <t>8</t>
        </is>
      </c>
      <c r="D312" s="2" t="inlineStr">
        <is>
          <t>NAVEL</t>
        </is>
      </c>
      <c r="E312" s="9" t="n">
        <v>50</v>
      </c>
      <c r="F312" s="9" t="n">
        <v>800</v>
      </c>
    </row>
    <row r="313">
      <c r="A313" s="6" t="n">
        <v>42830</v>
      </c>
      <c r="B313" s="11" t="n">
        <v>933926</v>
      </c>
      <c r="C313" s="11" t="inlineStr">
        <is>
          <t>8</t>
        </is>
      </c>
      <c r="D313" s="2" t="inlineStr">
        <is>
          <t>NAVEL</t>
        </is>
      </c>
      <c r="E313" s="9" t="n">
        <v>36</v>
      </c>
      <c r="F313" s="9" t="n">
        <v>576</v>
      </c>
    </row>
    <row r="314">
      <c r="A314" s="6" t="n">
        <v>42829</v>
      </c>
      <c r="B314" s="11" t="n">
        <v>933832</v>
      </c>
      <c r="C314" s="11" t="inlineStr">
        <is>
          <t>8</t>
        </is>
      </c>
      <c r="D314" s="2" t="inlineStr">
        <is>
          <t>NAVEL</t>
        </is>
      </c>
      <c r="E314" s="9" t="n">
        <v>50</v>
      </c>
      <c r="F314" s="9" t="n">
        <v>800</v>
      </c>
    </row>
    <row r="315">
      <c r="A315" s="6" t="n">
        <v>42829</v>
      </c>
      <c r="B315" s="11" t="n">
        <v>933841</v>
      </c>
      <c r="C315" s="11" t="inlineStr">
        <is>
          <t>8</t>
        </is>
      </c>
      <c r="D315" s="2" t="inlineStr">
        <is>
          <t>NAVEL</t>
        </is>
      </c>
      <c r="E315" s="9" t="n">
        <v>50</v>
      </c>
      <c r="F315" s="9" t="n">
        <v>800</v>
      </c>
    </row>
    <row r="316">
      <c r="A316" s="6" t="n">
        <v>42829</v>
      </c>
      <c r="B316" s="11" t="n">
        <v>933848</v>
      </c>
      <c r="C316" s="11" t="inlineStr">
        <is>
          <t>8</t>
        </is>
      </c>
      <c r="D316" s="2" t="inlineStr">
        <is>
          <t>NAVEL</t>
        </is>
      </c>
      <c r="E316" s="9" t="n">
        <v>50</v>
      </c>
      <c r="F316" s="9" t="n">
        <v>800</v>
      </c>
    </row>
    <row r="317">
      <c r="A317" s="6" t="n">
        <v>42829</v>
      </c>
      <c r="B317" s="11" t="n">
        <v>933860</v>
      </c>
      <c r="C317" s="11" t="inlineStr">
        <is>
          <t>8</t>
        </is>
      </c>
      <c r="D317" s="2" t="inlineStr">
        <is>
          <t>NAVEL</t>
        </is>
      </c>
      <c r="E317" s="9" t="n">
        <v>50</v>
      </c>
      <c r="F317" s="9" t="n">
        <v>800</v>
      </c>
    </row>
    <row r="318">
      <c r="A318" s="6" t="n">
        <v>42829</v>
      </c>
      <c r="B318" s="11" t="n">
        <v>933869</v>
      </c>
      <c r="C318" s="11" t="inlineStr">
        <is>
          <t>8</t>
        </is>
      </c>
      <c r="D318" s="2" t="inlineStr">
        <is>
          <t>NAVEL</t>
        </is>
      </c>
      <c r="E318" s="9" t="n">
        <v>50</v>
      </c>
      <c r="F318" s="9" t="n">
        <v>800</v>
      </c>
    </row>
    <row r="319">
      <c r="A319" s="6" t="n">
        <v>42508</v>
      </c>
      <c r="B319" s="11" t="n">
        <v>794650</v>
      </c>
      <c r="C319" s="11" t="inlineStr">
        <is>
          <t>8</t>
        </is>
      </c>
      <c r="D319" s="2" t="inlineStr">
        <is>
          <t>NAVEL</t>
        </is>
      </c>
      <c r="E319" s="9" t="n">
        <v>50</v>
      </c>
      <c r="F319" s="9" t="n">
        <v>800</v>
      </c>
    </row>
    <row r="320">
      <c r="A320" s="6" t="n">
        <v>42508</v>
      </c>
      <c r="B320" s="11" t="n">
        <v>794691</v>
      </c>
      <c r="C320" s="11" t="inlineStr">
        <is>
          <t>8</t>
        </is>
      </c>
      <c r="D320" s="2" t="inlineStr">
        <is>
          <t>NAVEL</t>
        </is>
      </c>
      <c r="E320" s="9" t="n">
        <v>15</v>
      </c>
      <c r="F320" s="9" t="n">
        <v>240</v>
      </c>
    </row>
    <row r="321">
      <c r="A321" s="6" t="n">
        <v>42508</v>
      </c>
      <c r="B321" s="11" t="n">
        <v>794692</v>
      </c>
      <c r="C321" s="11" t="inlineStr">
        <is>
          <t>8</t>
        </is>
      </c>
      <c r="D321" s="2" t="inlineStr">
        <is>
          <t>NAVEL</t>
        </is>
      </c>
      <c r="E321" s="9" t="n">
        <v>35</v>
      </c>
      <c r="F321" s="9" t="n">
        <v>560</v>
      </c>
    </row>
    <row r="322">
      <c r="A322" s="6" t="n">
        <v>42508</v>
      </c>
      <c r="B322" s="11" t="n">
        <v>794696</v>
      </c>
      <c r="C322" s="11" t="inlineStr">
        <is>
          <t>8</t>
        </is>
      </c>
      <c r="D322" s="2" t="inlineStr">
        <is>
          <t>NAVEL</t>
        </is>
      </c>
      <c r="E322" s="9" t="n">
        <v>16</v>
      </c>
      <c r="F322" s="9" t="n">
        <v>256</v>
      </c>
    </row>
    <row r="323">
      <c r="A323" s="6" t="n">
        <v>41345</v>
      </c>
      <c r="B323" s="11" t="n">
        <v>916942</v>
      </c>
      <c r="C323" s="11" t="inlineStr">
        <is>
          <t>1</t>
        </is>
      </c>
      <c r="D323" s="2" t="inlineStr">
        <is>
          <t>NAVEL</t>
        </is>
      </c>
      <c r="E323" s="9" t="n">
        <v>50</v>
      </c>
      <c r="F323" s="9" t="n">
        <v>800</v>
      </c>
    </row>
    <row r="324">
      <c r="A324" s="6" t="n">
        <v>41345</v>
      </c>
      <c r="B324" s="11" t="n">
        <v>916964</v>
      </c>
      <c r="C324" s="11" t="inlineStr">
        <is>
          <t>1</t>
        </is>
      </c>
      <c r="D324" s="2" t="inlineStr">
        <is>
          <t>NAVEL</t>
        </is>
      </c>
      <c r="E324" s="9" t="n">
        <v>5</v>
      </c>
      <c r="F324" s="9" t="n">
        <v>80</v>
      </c>
    </row>
    <row r="325">
      <c r="A325" s="6" t="n">
        <v>41346</v>
      </c>
      <c r="B325" s="11" t="n">
        <v>916969</v>
      </c>
      <c r="C325" s="11" t="inlineStr">
        <is>
          <t>1</t>
        </is>
      </c>
      <c r="D325" s="2" t="inlineStr">
        <is>
          <t>NAVEL</t>
        </is>
      </c>
      <c r="E325" s="9" t="n">
        <v>50</v>
      </c>
      <c r="F325" s="9" t="n">
        <v>800</v>
      </c>
    </row>
    <row r="326">
      <c r="A326" s="6" t="n">
        <v>41346</v>
      </c>
      <c r="B326" s="11" t="n">
        <v>916982</v>
      </c>
      <c r="C326" s="11" t="inlineStr">
        <is>
          <t>1</t>
        </is>
      </c>
      <c r="D326" s="2" t="inlineStr">
        <is>
          <t>NAVEL</t>
        </is>
      </c>
      <c r="E326" s="9" t="n">
        <v>52</v>
      </c>
      <c r="F326" s="9" t="n">
        <v>832</v>
      </c>
    </row>
    <row r="327">
      <c r="A327" s="6" t="n">
        <v>41346</v>
      </c>
      <c r="B327" s="11" t="n">
        <v>916992</v>
      </c>
      <c r="C327" s="11" t="inlineStr">
        <is>
          <t>2</t>
        </is>
      </c>
      <c r="D327" s="2" t="inlineStr">
        <is>
          <t>NAVEL</t>
        </is>
      </c>
      <c r="E327" s="9" t="n">
        <v>52</v>
      </c>
      <c r="F327" s="9" t="n">
        <v>832</v>
      </c>
    </row>
    <row r="328">
      <c r="A328" s="6" t="n">
        <v>41348</v>
      </c>
      <c r="B328" s="11" t="n">
        <v>917085</v>
      </c>
      <c r="C328" s="11" t="inlineStr">
        <is>
          <t>2</t>
        </is>
      </c>
      <c r="D328" s="2" t="inlineStr">
        <is>
          <t>NAVEL</t>
        </is>
      </c>
      <c r="E328" s="9" t="n">
        <v>40</v>
      </c>
      <c r="F328" s="9" t="n">
        <v>640</v>
      </c>
    </row>
    <row r="329">
      <c r="A329" s="6" t="n">
        <v>41355</v>
      </c>
      <c r="B329" s="11" t="n">
        <v>917351</v>
      </c>
      <c r="C329" s="11" t="inlineStr">
        <is>
          <t>3</t>
        </is>
      </c>
      <c r="D329" s="2" t="inlineStr">
        <is>
          <t>NAVEL</t>
        </is>
      </c>
      <c r="E329" s="9" t="n">
        <v>50</v>
      </c>
      <c r="F329" s="9" t="n">
        <v>800</v>
      </c>
    </row>
    <row r="330">
      <c r="A330" s="6" t="n">
        <v>41355</v>
      </c>
      <c r="B330" s="11" t="n">
        <v>917371</v>
      </c>
      <c r="C330" s="11" t="inlineStr">
        <is>
          <t>3</t>
        </is>
      </c>
      <c r="D330" s="2" t="inlineStr">
        <is>
          <t>NAVEL</t>
        </is>
      </c>
      <c r="E330" s="9" t="n">
        <v>42</v>
      </c>
      <c r="F330" s="9" t="n">
        <v>672</v>
      </c>
    </row>
    <row r="331">
      <c r="A331" s="6" t="n">
        <v>41356</v>
      </c>
      <c r="B331" s="11" t="n">
        <v>917422</v>
      </c>
      <c r="C331" s="11" t="inlineStr">
        <is>
          <t>3</t>
        </is>
      </c>
      <c r="D331" s="2" t="inlineStr">
        <is>
          <t>NAVEL</t>
        </is>
      </c>
      <c r="E331" s="9" t="n">
        <v>50</v>
      </c>
      <c r="F331" s="9" t="n">
        <v>800</v>
      </c>
    </row>
    <row r="332">
      <c r="A332" s="6" t="n">
        <v>41356</v>
      </c>
      <c r="B332" s="11" t="n">
        <v>917423</v>
      </c>
      <c r="C332" s="11" t="inlineStr">
        <is>
          <t>3</t>
        </is>
      </c>
      <c r="D332" s="2" t="inlineStr">
        <is>
          <t>NAVEL</t>
        </is>
      </c>
      <c r="E332" s="9" t="n">
        <v>12.5</v>
      </c>
      <c r="F332" s="9" t="n">
        <v>200</v>
      </c>
    </row>
    <row r="333">
      <c r="A333" s="6" t="n">
        <v>41349</v>
      </c>
      <c r="B333" s="11" t="n">
        <v>917106</v>
      </c>
      <c r="C333" s="11" t="inlineStr">
        <is>
          <t>3</t>
        </is>
      </c>
      <c r="D333" s="2" t="inlineStr">
        <is>
          <t>NAVEL</t>
        </is>
      </c>
      <c r="E333" s="9" t="n">
        <v>50</v>
      </c>
      <c r="F333" s="9" t="n">
        <v>800</v>
      </c>
    </row>
    <row r="334">
      <c r="A334" s="6" t="n">
        <v>41349</v>
      </c>
      <c r="B334" s="11" t="n">
        <v>917114</v>
      </c>
      <c r="C334" s="11" t="inlineStr">
        <is>
          <t>3</t>
        </is>
      </c>
      <c r="D334" s="2" t="inlineStr">
        <is>
          <t>NAVEL</t>
        </is>
      </c>
      <c r="E334" s="9" t="n">
        <v>20</v>
      </c>
      <c r="F334" s="9" t="n">
        <v>320</v>
      </c>
    </row>
    <row r="335">
      <c r="A335" s="6" t="n">
        <v>41345</v>
      </c>
      <c r="B335" s="11" t="n">
        <v>916946</v>
      </c>
      <c r="C335" s="11" t="inlineStr">
        <is>
          <t>1</t>
        </is>
      </c>
      <c r="D335" s="2" t="inlineStr">
        <is>
          <t>NAVEL</t>
        </is>
      </c>
      <c r="E335" s="9" t="n">
        <v>50</v>
      </c>
      <c r="F335" s="9" t="n">
        <v>800</v>
      </c>
    </row>
    <row r="336">
      <c r="A336" s="6" t="n">
        <v>41345</v>
      </c>
      <c r="B336" s="11" t="n">
        <v>916954</v>
      </c>
      <c r="C336" s="11" t="inlineStr">
        <is>
          <t>1</t>
        </is>
      </c>
      <c r="D336" s="2" t="inlineStr">
        <is>
          <t>NAVEL</t>
        </is>
      </c>
      <c r="E336" s="9" t="n">
        <v>50</v>
      </c>
      <c r="F336" s="9" t="n">
        <v>800</v>
      </c>
    </row>
    <row r="337">
      <c r="A337" s="6" t="n">
        <v>41345</v>
      </c>
      <c r="B337" s="11" t="n">
        <v>916962</v>
      </c>
      <c r="C337" s="11" t="inlineStr">
        <is>
          <t>1</t>
        </is>
      </c>
      <c r="D337" s="2" t="inlineStr">
        <is>
          <t>NAVEL</t>
        </is>
      </c>
      <c r="E337" s="9" t="n">
        <v>50</v>
      </c>
      <c r="F337" s="9" t="n">
        <v>800</v>
      </c>
    </row>
    <row r="338">
      <c r="A338" s="6" t="n">
        <v>41348</v>
      </c>
      <c r="B338" s="11" t="n">
        <v>917090</v>
      </c>
      <c r="C338" s="11" t="inlineStr">
        <is>
          <t>2</t>
        </is>
      </c>
      <c r="D338" s="2" t="inlineStr">
        <is>
          <t>NAVEL</t>
        </is>
      </c>
      <c r="E338" s="9" t="n">
        <v>40</v>
      </c>
      <c r="F338" s="9" t="n">
        <v>640</v>
      </c>
    </row>
    <row r="339">
      <c r="A339" s="6" t="n">
        <v>41355</v>
      </c>
      <c r="B339" s="11" t="n">
        <v>917359</v>
      </c>
      <c r="C339" s="11" t="inlineStr">
        <is>
          <t>3</t>
        </is>
      </c>
      <c r="D339" s="2" t="inlineStr">
        <is>
          <t>NAVEL</t>
        </is>
      </c>
      <c r="E339" s="9" t="n">
        <v>50</v>
      </c>
      <c r="F339" s="9" t="n">
        <v>800</v>
      </c>
    </row>
    <row r="340">
      <c r="A340" s="6" t="n">
        <v>41355</v>
      </c>
      <c r="B340" s="11" t="n">
        <v>917365</v>
      </c>
      <c r="C340" s="11" t="inlineStr">
        <is>
          <t>3</t>
        </is>
      </c>
      <c r="D340" s="2" t="inlineStr">
        <is>
          <t>NAVEL</t>
        </is>
      </c>
      <c r="E340" s="9" t="n">
        <v>50</v>
      </c>
      <c r="F340" s="9" t="n">
        <v>800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79"/>
  <sheetViews>
    <sheetView workbookViewId="0">
      <pane ySplit="1" topLeftCell="A2" activePane="bottomLeft" state="frozen"/>
      <selection pane="bottomLeft" activeCell="M19" sqref="M19"/>
    </sheetView>
    <sheetView topLeftCell="A22" workbookViewId="1">
      <selection activeCell="M52" sqref="M52"/>
    </sheetView>
  </sheetViews>
  <sheetFormatPr baseColWidth="8" defaultRowHeight="14.5"/>
  <cols>
    <col width="12.36328125" bestFit="1" customWidth="1" style="2" min="1" max="1"/>
    <col width="14.08984375" bestFit="1" customWidth="1" style="6" min="2" max="2"/>
    <col width="8.90625" bestFit="1" customWidth="1" style="11" min="3" max="3"/>
    <col width="27.08984375" bestFit="1" customWidth="1" style="9" min="4" max="4"/>
    <col width="9.90625" bestFit="1" customWidth="1" style="9" min="5" max="5"/>
    <col width="16.08984375" bestFit="1" customWidth="1" style="9" min="6" max="6"/>
    <col width="17.453125" bestFit="1" customWidth="1" style="4" min="7" max="7"/>
    <col width="17.453125" bestFit="1" customWidth="1" style="9" min="8" max="8"/>
    <col width="18.36328125" bestFit="1" customWidth="1" style="4" min="9" max="9"/>
    <col width="16.08984375" bestFit="1" customWidth="1" style="9" min="10" max="10"/>
    <col width="17.08984375" bestFit="1" customWidth="1" style="4" min="11" max="11"/>
    <col width="16.7265625" bestFit="1" customWidth="1" style="2" min="12" max="12"/>
    <col width="17.6328125" bestFit="1" customWidth="1" style="13" min="13" max="13"/>
    <col width="15.54296875" bestFit="1" customWidth="1" style="2" min="14" max="14"/>
    <col width="16.6328125" bestFit="1" customWidth="1" style="13" min="15" max="15"/>
    <col width="8.7265625" customWidth="1" style="16" min="16" max="16"/>
  </cols>
  <sheetData>
    <row r="1" customFormat="1" s="1">
      <c r="A1" s="3" t="inlineStr">
        <is>
          <t>Variety</t>
        </is>
      </c>
      <c r="B1" s="7" t="inlineStr">
        <is>
          <t>Fruit Packed On</t>
        </is>
      </c>
      <c r="C1" s="10" t="inlineStr">
        <is>
          <t>Block ID</t>
        </is>
      </c>
      <c r="D1" s="8" t="inlineStr">
        <is>
          <t>Field Box (Processed This Date)</t>
        </is>
      </c>
      <c r="E1" s="8" t="inlineStr">
        <is>
          <t>Total Bins</t>
        </is>
      </c>
      <c r="F1" s="8" t="inlineStr">
        <is>
          <t>Total Fancy (CTN)</t>
        </is>
      </c>
      <c r="G1" s="14" t="inlineStr">
        <is>
          <t>Total Fancy PkOut%</t>
        </is>
      </c>
      <c r="H1" s="8" t="inlineStr">
        <is>
          <t>Total Choice (CTN)</t>
        </is>
      </c>
      <c r="I1" s="14" t="inlineStr">
        <is>
          <t>Total Choice PkOut%</t>
        </is>
      </c>
      <c r="J1" s="8" t="inlineStr">
        <is>
          <t>Total Other (CTN)</t>
        </is>
      </c>
      <c r="K1" s="14" t="inlineStr">
        <is>
          <t>Total Other PkOut%</t>
        </is>
      </c>
      <c r="L1" s="3" t="inlineStr">
        <is>
          <t>Total Waste (CTN)</t>
        </is>
      </c>
      <c r="M1" s="12" t="inlineStr">
        <is>
          <t>Total Waste PkOut%</t>
        </is>
      </c>
      <c r="N1" s="3" t="inlineStr">
        <is>
          <t>Total Juice (CTN)</t>
        </is>
      </c>
      <c r="O1" s="12" t="inlineStr">
        <is>
          <t>Total Juice PkOut%</t>
        </is>
      </c>
      <c r="P1" s="15" t="n"/>
    </row>
    <row r="2">
      <c r="A2" s="2" t="inlineStr">
        <is>
          <t>CLEMENTINES</t>
        </is>
      </c>
      <c r="B2" s="6" t="n">
        <v>46037</v>
      </c>
      <c r="C2" s="11" t="n">
        <v>1</v>
      </c>
      <c r="D2" s="9" t="n">
        <v>336</v>
      </c>
      <c r="E2" s="9" t="n">
        <v>21</v>
      </c>
      <c r="F2" s="9" t="n">
        <v>2406</v>
      </c>
      <c r="G2" s="4" t="n">
        <v>0.6604</v>
      </c>
      <c r="H2" s="9" t="n">
        <v>0</v>
      </c>
      <c r="I2" s="4" t="n">
        <v>0</v>
      </c>
      <c r="J2" s="9" t="n">
        <v>0</v>
      </c>
      <c r="K2" s="4" t="n">
        <v>0</v>
      </c>
      <c r="L2" s="2" t="n">
        <v>73</v>
      </c>
      <c r="M2" s="13">
        <f>L2/(N2+L2+J2+H2+F2)</f>
        <v/>
      </c>
      <c r="N2" s="2" t="n">
        <v>1165</v>
      </c>
      <c r="O2" s="13">
        <f>N2/(N2+L2+J2+H2+F2)</f>
        <v/>
      </c>
    </row>
    <row r="3">
      <c r="A3" s="2" t="inlineStr">
        <is>
          <t>CLEMENTINES</t>
        </is>
      </c>
      <c r="B3" s="6" t="n">
        <v>46037</v>
      </c>
      <c r="C3" s="11" t="inlineStr">
        <is>
          <t>2B</t>
        </is>
      </c>
      <c r="D3" s="9" t="n">
        <v>1200</v>
      </c>
      <c r="E3" s="9" t="n">
        <v>75</v>
      </c>
      <c r="F3" s="9" t="n">
        <v>4875</v>
      </c>
      <c r="G3" s="4" t="n">
        <v>0.3746</v>
      </c>
      <c r="H3" s="9" t="n">
        <v>0</v>
      </c>
      <c r="I3" s="4" t="n">
        <v>0</v>
      </c>
      <c r="J3" s="9" t="n">
        <v>0</v>
      </c>
      <c r="K3" s="4" t="n">
        <v>0</v>
      </c>
      <c r="L3" s="2" t="n">
        <v>260</v>
      </c>
      <c r="M3" s="13">
        <f>L3/(N3+L3+J3+H3+F3)</f>
        <v/>
      </c>
      <c r="N3" s="2" t="n">
        <v>7876</v>
      </c>
      <c r="O3" s="13">
        <f>N3/(N3+L3+J3+H3+F3)</f>
        <v/>
      </c>
    </row>
    <row r="4">
      <c r="A4" s="2" t="inlineStr">
        <is>
          <t>LEMONS</t>
        </is>
      </c>
      <c r="B4" s="6" t="n">
        <v>46037</v>
      </c>
      <c r="C4" s="11" t="inlineStr">
        <is>
          <t>16L</t>
        </is>
      </c>
      <c r="D4" s="9" t="n">
        <v>1600</v>
      </c>
      <c r="E4" s="9" t="n">
        <v>100</v>
      </c>
      <c r="F4" s="9" t="n">
        <v>950</v>
      </c>
      <c r="G4" s="4" t="n">
        <v>0.5938</v>
      </c>
      <c r="H4" s="9" t="n">
        <v>427</v>
      </c>
      <c r="I4" s="4" t="n">
        <v>0.2669</v>
      </c>
      <c r="J4" s="9" t="n">
        <v>0</v>
      </c>
      <c r="K4" s="4" t="n">
        <v>0</v>
      </c>
      <c r="L4" s="2" t="n">
        <v>44</v>
      </c>
      <c r="M4" s="13">
        <f>L4/(N4+L4+J4+H4+F4)</f>
        <v/>
      </c>
      <c r="N4" s="2" t="n">
        <v>779</v>
      </c>
      <c r="O4" s="13">
        <f>N4/(N4+L4+J4+H4+F4)</f>
        <v/>
      </c>
    </row>
    <row r="5">
      <c r="A5" s="2" t="inlineStr">
        <is>
          <t>LEMONS</t>
        </is>
      </c>
      <c r="B5" s="6" t="n">
        <v>46039</v>
      </c>
      <c r="C5" s="11" t="n">
        <v>12</v>
      </c>
      <c r="D5" s="9" t="n">
        <v>384</v>
      </c>
      <c r="E5" s="9" t="n">
        <v>24</v>
      </c>
      <c r="F5" s="9" t="n">
        <v>238</v>
      </c>
      <c r="G5" s="4" t="n">
        <v>0.6198</v>
      </c>
      <c r="H5" s="9" t="n">
        <v>107</v>
      </c>
      <c r="I5" s="4" t="n">
        <v>0.2786</v>
      </c>
      <c r="J5" s="9" t="n">
        <v>0</v>
      </c>
      <c r="K5" s="4" t="n">
        <v>0</v>
      </c>
      <c r="L5" s="2" t="n">
        <v>11</v>
      </c>
      <c r="M5" s="13">
        <f>L5/(N5+L5+J5+H5+F5)</f>
        <v/>
      </c>
      <c r="N5" s="2" t="n">
        <v>172</v>
      </c>
      <c r="O5" s="13">
        <f>N5/(N5+L5+J5+H5+F5)</f>
        <v/>
      </c>
    </row>
    <row r="6">
      <c r="A6" s="2" t="inlineStr">
        <is>
          <t>LEMONS</t>
        </is>
      </c>
      <c r="B6" s="6" t="n">
        <v>46038</v>
      </c>
      <c r="C6" s="11" t="inlineStr">
        <is>
          <t>16L</t>
        </is>
      </c>
      <c r="D6" s="9" t="n">
        <v>1888</v>
      </c>
      <c r="E6" s="9" t="n">
        <v>118</v>
      </c>
      <c r="F6" s="9" t="n">
        <v>1052</v>
      </c>
      <c r="G6" s="4" t="n">
        <v>0.5572</v>
      </c>
      <c r="H6" s="9" t="n">
        <v>548</v>
      </c>
      <c r="I6" s="4" t="n">
        <v>0.2903</v>
      </c>
      <c r="J6" s="9" t="n">
        <v>0</v>
      </c>
      <c r="K6" s="4" t="n">
        <v>0</v>
      </c>
      <c r="L6" s="2" t="n">
        <v>52</v>
      </c>
      <c r="M6" s="13">
        <f>L6/(N6+L6+J6+H6+F6)</f>
        <v/>
      </c>
      <c r="N6" s="2" t="n">
        <v>944</v>
      </c>
      <c r="O6" s="13">
        <f>N6/(N6+L6+J6+H6+F6)</f>
        <v/>
      </c>
    </row>
    <row r="7">
      <c r="A7" s="2" t="inlineStr">
        <is>
          <t>LEMONS</t>
        </is>
      </c>
      <c r="B7" s="6" t="n">
        <v>46039</v>
      </c>
      <c r="C7" s="11" t="inlineStr">
        <is>
          <t>16L</t>
        </is>
      </c>
      <c r="D7" s="9" t="n">
        <v>1472</v>
      </c>
      <c r="E7" s="9" t="n">
        <v>92</v>
      </c>
      <c r="F7" s="9" t="n">
        <v>857</v>
      </c>
      <c r="G7" s="4" t="n">
        <v>0.5822000000000001</v>
      </c>
      <c r="H7" s="9" t="n">
        <v>393</v>
      </c>
      <c r="I7" s="4" t="n">
        <v>0.267</v>
      </c>
      <c r="J7" s="9" t="n">
        <v>0</v>
      </c>
      <c r="K7" s="4" t="n">
        <v>0</v>
      </c>
      <c r="L7" s="2" t="n">
        <v>40</v>
      </c>
      <c r="M7" s="13">
        <f>L7/(N7+L7+J7+H7+F7)</f>
        <v/>
      </c>
      <c r="N7" s="2" t="n">
        <v>734</v>
      </c>
      <c r="O7" s="13">
        <f>N7/(N7+L7+J7+H7+F7)</f>
        <v/>
      </c>
    </row>
    <row r="8">
      <c r="A8" s="2" t="inlineStr">
        <is>
          <t>CLEMENTINES</t>
        </is>
      </c>
      <c r="B8" s="6" t="n">
        <v>46035</v>
      </c>
      <c r="C8" s="11" t="n">
        <v>1</v>
      </c>
      <c r="D8" s="9" t="n">
        <v>1536</v>
      </c>
      <c r="E8" s="9" t="n">
        <v>96</v>
      </c>
      <c r="F8" s="9" t="n">
        <v>6238</v>
      </c>
      <c r="G8" s="4" t="n">
        <v>0.3745</v>
      </c>
      <c r="H8" s="9" t="n">
        <v>0</v>
      </c>
      <c r="I8" s="4" t="n">
        <v>0</v>
      </c>
      <c r="J8" s="9" t="n">
        <v>0</v>
      </c>
      <c r="K8" s="4" t="n">
        <v>0</v>
      </c>
      <c r="L8" s="2" t="n">
        <v>333</v>
      </c>
      <c r="M8" s="13">
        <f>L8/(N8+L8+J8+H8+F8)</f>
        <v/>
      </c>
      <c r="N8" s="2" t="n">
        <v>10085</v>
      </c>
      <c r="O8" s="13">
        <f>N8/(N8+L8+J8+H8+F8)</f>
        <v/>
      </c>
    </row>
    <row r="9">
      <c r="A9" s="5" t="inlineStr">
        <is>
          <t>CLEMENTINES</t>
        </is>
      </c>
      <c r="B9" s="6" t="n">
        <v>46036</v>
      </c>
      <c r="C9" s="11" t="inlineStr">
        <is>
          <t>1</t>
        </is>
      </c>
      <c r="D9" s="9" t="n">
        <v>1536</v>
      </c>
      <c r="E9" s="9" t="n">
        <v>96</v>
      </c>
      <c r="F9" s="9" t="n">
        <v>5722</v>
      </c>
      <c r="G9" s="4" t="n">
        <v>0.3435</v>
      </c>
      <c r="H9" s="9" t="n">
        <v>0</v>
      </c>
      <c r="I9" s="4" t="n">
        <v>0</v>
      </c>
      <c r="J9" s="9" t="n">
        <v>0</v>
      </c>
      <c r="K9" s="4" t="n">
        <v>0</v>
      </c>
      <c r="L9" s="2" t="n">
        <v>333</v>
      </c>
      <c r="M9" s="13">
        <f>L9/(N9+L9+J9+H9+F9)</f>
        <v/>
      </c>
      <c r="N9" s="2" t="n">
        <v>10601</v>
      </c>
      <c r="O9" s="13">
        <f>N9/(N9+L9+J9+H9+F9)</f>
        <v/>
      </c>
    </row>
    <row r="10">
      <c r="A10" s="2" t="inlineStr">
        <is>
          <t>CLEMENTINES</t>
        </is>
      </c>
      <c r="B10" s="6" t="n">
        <v>46038</v>
      </c>
      <c r="C10" s="11" t="inlineStr">
        <is>
          <t>2B</t>
        </is>
      </c>
      <c r="D10" s="9" t="n">
        <v>1192</v>
      </c>
      <c r="E10" s="9" t="n">
        <v>74.5</v>
      </c>
      <c r="F10" s="9" t="n">
        <v>4474</v>
      </c>
      <c r="G10" s="4" t="n">
        <v>0.3461</v>
      </c>
      <c r="H10" s="9" t="n">
        <v>0</v>
      </c>
      <c r="I10" s="4" t="n">
        <v>0</v>
      </c>
      <c r="J10" s="9" t="n">
        <v>0</v>
      </c>
      <c r="K10" s="4" t="n">
        <v>0</v>
      </c>
      <c r="L10" s="2" t="n">
        <v>259</v>
      </c>
      <c r="M10" s="13">
        <f>L10/(N10+L10+J10+H10+F10)</f>
        <v/>
      </c>
      <c r="N10" s="2" t="n">
        <v>8193</v>
      </c>
      <c r="O10" s="13">
        <f>N10/(N10+L10+J10+H10+F10)</f>
        <v/>
      </c>
    </row>
    <row r="11">
      <c r="A11" s="2" t="inlineStr">
        <is>
          <t>LEMONS</t>
        </is>
      </c>
      <c r="B11" s="6" t="n">
        <v>45974</v>
      </c>
      <c r="C11" s="11" t="inlineStr">
        <is>
          <t>16L</t>
        </is>
      </c>
      <c r="D11" s="9" t="n">
        <v>1056</v>
      </c>
      <c r="E11" s="9" t="n">
        <v>66</v>
      </c>
      <c r="F11" s="9" t="n">
        <v>968</v>
      </c>
      <c r="G11" s="4" t="n">
        <v>0.9167</v>
      </c>
      <c r="H11" s="9" t="n">
        <v>263</v>
      </c>
      <c r="I11" s="4" t="n">
        <v>0.2491</v>
      </c>
      <c r="J11" s="9" t="n">
        <v>0</v>
      </c>
      <c r="K11" s="4" t="n">
        <v>0</v>
      </c>
      <c r="L11" s="2" t="n">
        <v>29</v>
      </c>
      <c r="M11" s="13">
        <f>L11/(N11+L11+J11+H11+F11)</f>
        <v/>
      </c>
      <c r="N11" s="2" t="n">
        <v>192</v>
      </c>
      <c r="O11" s="13">
        <f>N11/(N11+L11+J11+H11+F11)</f>
        <v/>
      </c>
    </row>
    <row r="12">
      <c r="A12" s="2" t="inlineStr">
        <is>
          <t>LEMONS</t>
        </is>
      </c>
      <c r="B12" s="6" t="n">
        <v>45975</v>
      </c>
      <c r="C12" s="11" t="inlineStr">
        <is>
          <t>16L</t>
        </is>
      </c>
      <c r="D12" s="9" t="n">
        <v>1504</v>
      </c>
      <c r="E12" s="9" t="n">
        <v>94</v>
      </c>
      <c r="F12" s="9" t="n">
        <v>1506</v>
      </c>
      <c r="G12" s="4" t="n">
        <v>1.0013</v>
      </c>
      <c r="H12" s="9" t="n">
        <v>330</v>
      </c>
      <c r="I12" s="4" t="n">
        <v>0.2194</v>
      </c>
      <c r="J12" s="9" t="n">
        <v>0</v>
      </c>
      <c r="K12" s="4" t="n">
        <v>0</v>
      </c>
      <c r="L12" s="2" t="n">
        <v>41</v>
      </c>
      <c r="M12" s="13">
        <f>L12/(N12+L12+J12+H12+F12)</f>
        <v/>
      </c>
      <c r="N12" s="2" t="n">
        <v>191</v>
      </c>
      <c r="O12" s="13">
        <f>N12/(N12+L12+J12+H12+F12)</f>
        <v/>
      </c>
    </row>
    <row r="13">
      <c r="A13" s="2" t="inlineStr">
        <is>
          <t>CLEMENTINES</t>
        </is>
      </c>
      <c r="B13" s="6" t="n">
        <v>46012</v>
      </c>
      <c r="C13" s="11" t="inlineStr">
        <is>
          <t>1</t>
        </is>
      </c>
      <c r="D13" s="9" t="n">
        <v>2304</v>
      </c>
      <c r="E13" s="9" t="n">
        <v>144</v>
      </c>
      <c r="F13" s="9" t="n">
        <v>14300</v>
      </c>
      <c r="G13" s="4" t="n">
        <v>0.5724</v>
      </c>
      <c r="H13" s="9" t="n">
        <v>0</v>
      </c>
      <c r="I13" s="4" t="n">
        <v>0</v>
      </c>
      <c r="J13" s="9" t="n">
        <v>0</v>
      </c>
      <c r="K13" s="4" t="n">
        <v>0</v>
      </c>
      <c r="L13" s="2" t="n">
        <v>500</v>
      </c>
      <c r="M13" s="13">
        <f>L13/(N13+L13+J13+H13+F13)</f>
        <v/>
      </c>
      <c r="N13" s="2" t="n">
        <v>10184</v>
      </c>
      <c r="O13" s="13">
        <f>N13/(N13+L13+J13+H13+F13)</f>
        <v/>
      </c>
    </row>
    <row r="14">
      <c r="A14" s="2" t="inlineStr">
        <is>
          <t>CLEMENTINES</t>
        </is>
      </c>
      <c r="B14" s="6" t="n">
        <v>46012</v>
      </c>
      <c r="C14" s="11" t="inlineStr">
        <is>
          <t>2B</t>
        </is>
      </c>
      <c r="D14" s="9" t="n">
        <v>1536</v>
      </c>
      <c r="E14" s="9" t="n">
        <v>96</v>
      </c>
      <c r="F14" s="9" t="n">
        <v>11683</v>
      </c>
      <c r="G14" s="4" t="n">
        <v>0.7014</v>
      </c>
      <c r="H14" s="9" t="n">
        <v>0</v>
      </c>
      <c r="I14" s="4" t="n">
        <v>0</v>
      </c>
      <c r="J14" s="9" t="n">
        <v>0</v>
      </c>
      <c r="K14" s="4" t="n">
        <v>0</v>
      </c>
      <c r="L14" s="2" t="n">
        <v>333</v>
      </c>
      <c r="M14" s="13">
        <f>L14/(N14+L14+J14+H14+F14)</f>
        <v/>
      </c>
      <c r="N14" s="2" t="n">
        <v>4640</v>
      </c>
      <c r="O14" s="13">
        <f>N14/(N14+L14+J14+H14+F14)</f>
        <v/>
      </c>
    </row>
    <row r="15">
      <c r="A15" s="2" t="inlineStr">
        <is>
          <t>CARA-CARA</t>
        </is>
      </c>
      <c r="B15" s="6" t="n">
        <v>46049</v>
      </c>
      <c r="C15" s="11" t="inlineStr">
        <is>
          <t>19C</t>
        </is>
      </c>
      <c r="D15" s="9" t="n">
        <v>1440</v>
      </c>
      <c r="E15" s="9" t="n">
        <v>90</v>
      </c>
      <c r="F15" s="9" t="n">
        <v>1269</v>
      </c>
      <c r="G15" s="4" t="n">
        <v>0.8813</v>
      </c>
      <c r="H15" s="9" t="n">
        <v>306</v>
      </c>
      <c r="I15" s="4" t="n">
        <v>0.2125</v>
      </c>
      <c r="J15" s="9" t="n">
        <v>0</v>
      </c>
      <c r="K15" s="4" t="n">
        <v>0</v>
      </c>
      <c r="L15" s="2" t="n">
        <v>41</v>
      </c>
      <c r="M15" s="13">
        <f>L15/(N15+L15+J15+H15+F15)</f>
        <v/>
      </c>
      <c r="N15" s="2" t="n">
        <v>454</v>
      </c>
      <c r="O15" s="13">
        <f>N15/(N15+L15+J15+H15+F15)</f>
        <v/>
      </c>
    </row>
    <row r="16">
      <c r="A16" s="2" t="inlineStr">
        <is>
          <t>MURCOTTS</t>
        </is>
      </c>
      <c r="B16" s="6" t="n">
        <v>46046</v>
      </c>
      <c r="C16" s="11" t="inlineStr">
        <is>
          <t>11</t>
        </is>
      </c>
      <c r="D16" s="9" t="n">
        <v>2000</v>
      </c>
      <c r="E16" s="9" t="n">
        <v>125</v>
      </c>
      <c r="F16" s="9" t="n">
        <v>16824</v>
      </c>
      <c r="G16" s="4" t="n">
        <v>0.7756999999999999</v>
      </c>
      <c r="H16" s="9" t="n">
        <v>0</v>
      </c>
      <c r="I16" s="4" t="n">
        <v>0</v>
      </c>
      <c r="J16" s="9" t="n">
        <v>0</v>
      </c>
      <c r="K16" s="4" t="n">
        <v>0</v>
      </c>
      <c r="L16" s="2" t="n">
        <v>434</v>
      </c>
      <c r="M16" s="13">
        <f>L16/(N16+L16+J16+H16+F16)</f>
        <v/>
      </c>
      <c r="N16" s="2" t="n">
        <v>4429</v>
      </c>
      <c r="O16" s="13">
        <f>N16/(N16+L16+J16+H16+F16)</f>
        <v/>
      </c>
    </row>
    <row r="17">
      <c r="A17" s="2" t="inlineStr">
        <is>
          <t>MURCOTTS</t>
        </is>
      </c>
      <c r="B17" s="6" t="n">
        <v>46049</v>
      </c>
      <c r="C17" s="11" t="inlineStr">
        <is>
          <t>11</t>
        </is>
      </c>
      <c r="D17" s="9" t="n">
        <v>5248</v>
      </c>
      <c r="E17" s="9" t="n">
        <v>328</v>
      </c>
      <c r="F17" s="9" t="n">
        <v>46324</v>
      </c>
      <c r="G17" s="4" t="n">
        <v>0.8139999999999999</v>
      </c>
      <c r="H17" s="9" t="n">
        <v>0</v>
      </c>
      <c r="I17" s="4" t="n">
        <v>0</v>
      </c>
      <c r="J17" s="9" t="n">
        <v>0</v>
      </c>
      <c r="K17" s="4" t="n">
        <v>0</v>
      </c>
      <c r="L17" s="2" t="n">
        <v>1138</v>
      </c>
      <c r="M17" s="13">
        <f>L17/(N17+L17+J17+H17+F17)</f>
        <v/>
      </c>
      <c r="N17" s="2" t="n">
        <v>9446</v>
      </c>
      <c r="O17" s="13">
        <f>N17/(N17+L17+J17+H17+F17)</f>
        <v/>
      </c>
    </row>
    <row r="18">
      <c r="A18" s="2" t="inlineStr">
        <is>
          <t>MURCOTTS</t>
        </is>
      </c>
      <c r="B18" s="6" t="n">
        <v>46049</v>
      </c>
      <c r="C18" s="11" t="inlineStr">
        <is>
          <t>11</t>
        </is>
      </c>
      <c r="D18" s="9" t="n">
        <v>80</v>
      </c>
      <c r="E18" s="9" t="n">
        <v>5</v>
      </c>
      <c r="F18" s="9" t="n">
        <v>550</v>
      </c>
      <c r="G18" s="4" t="n">
        <v>0.634</v>
      </c>
      <c r="H18" s="9" t="n">
        <v>0</v>
      </c>
      <c r="I18" s="4" t="n">
        <v>0</v>
      </c>
      <c r="J18" s="9" t="n">
        <v>0</v>
      </c>
      <c r="K18" s="4" t="n">
        <v>0</v>
      </c>
      <c r="L18" s="2" t="n">
        <v>17</v>
      </c>
      <c r="M18" s="13">
        <f>L18/(N18+L18+J18+H18+F18)</f>
        <v/>
      </c>
      <c r="N18" s="2" t="n">
        <v>301</v>
      </c>
      <c r="O18" s="13">
        <f>N18/(N18+L18+J18+H18+F18)</f>
        <v/>
      </c>
    </row>
    <row r="19">
      <c r="A19" s="2" t="inlineStr">
        <is>
          <t>LEMONS</t>
        </is>
      </c>
      <c r="B19" s="6" t="n">
        <v>45990</v>
      </c>
      <c r="C19" s="11" t="inlineStr">
        <is>
          <t>12</t>
        </is>
      </c>
      <c r="D19" s="9" t="n">
        <v>4656</v>
      </c>
      <c r="E19" s="9" t="n">
        <v>291</v>
      </c>
      <c r="F19" s="9" t="n">
        <v>4001</v>
      </c>
      <c r="G19" s="4" t="n">
        <v>0.8593</v>
      </c>
      <c r="H19" s="9" t="n">
        <v>903</v>
      </c>
      <c r="I19" s="4" t="n">
        <v>0.1939</v>
      </c>
      <c r="J19" s="9" t="n">
        <v>0</v>
      </c>
      <c r="K19" s="4" t="n">
        <v>0</v>
      </c>
      <c r="L19" s="2" t="n">
        <v>128</v>
      </c>
      <c r="M19" s="13">
        <f>L19/(N19+L19+J19+H19+F19)</f>
        <v/>
      </c>
      <c r="N19" s="2" t="n">
        <v>1370</v>
      </c>
      <c r="O19" s="13">
        <f>N19/(N19+L19+J19+H19+F19)</f>
        <v/>
      </c>
    </row>
    <row r="20">
      <c r="A20" s="2" t="inlineStr">
        <is>
          <t>CLEMENTINES</t>
        </is>
      </c>
      <c r="B20" s="6" t="n">
        <v>45981</v>
      </c>
      <c r="C20" s="11" t="inlineStr">
        <is>
          <t>1</t>
        </is>
      </c>
      <c r="D20" s="9" t="n">
        <v>1536</v>
      </c>
      <c r="E20" s="9" t="n">
        <v>96</v>
      </c>
      <c r="F20" s="9" t="n">
        <v>13552</v>
      </c>
      <c r="G20" s="4" t="n">
        <v>0.8136</v>
      </c>
      <c r="H20" s="9" t="n">
        <v>0</v>
      </c>
      <c r="I20" s="4" t="n">
        <v>0</v>
      </c>
      <c r="J20" s="9" t="n">
        <v>0</v>
      </c>
      <c r="K20" s="4" t="n">
        <v>0</v>
      </c>
      <c r="L20" s="2" t="n">
        <v>333</v>
      </c>
      <c r="M20" s="13">
        <f>L20/(N20+L20+J20+H20+F20)</f>
        <v/>
      </c>
      <c r="N20" s="2" t="n">
        <v>2771</v>
      </c>
      <c r="O20" s="13">
        <f>N20/(N20+L20+J20+H20+F20)</f>
        <v/>
      </c>
    </row>
    <row r="21">
      <c r="A21" s="2" t="inlineStr">
        <is>
          <t>CLEMENTINES</t>
        </is>
      </c>
      <c r="B21" s="6" t="n">
        <v>45982</v>
      </c>
      <c r="C21" s="11" t="inlineStr">
        <is>
          <t>1</t>
        </is>
      </c>
      <c r="D21" s="9" t="n">
        <v>1536</v>
      </c>
      <c r="E21" s="9" t="n">
        <v>96</v>
      </c>
      <c r="F21" s="9" t="n">
        <v>14141</v>
      </c>
      <c r="G21" s="4" t="n">
        <v>0.849</v>
      </c>
      <c r="H21" s="9" t="n">
        <v>0</v>
      </c>
      <c r="I21" s="4" t="n">
        <v>0</v>
      </c>
      <c r="J21" s="9" t="n">
        <v>0</v>
      </c>
      <c r="K21" s="4" t="n">
        <v>0</v>
      </c>
      <c r="L21" s="2" t="n">
        <v>333</v>
      </c>
      <c r="M21" s="13">
        <f>L21/(N21+L21+J21+H21+F21)</f>
        <v/>
      </c>
      <c r="N21" s="2" t="n">
        <v>2182</v>
      </c>
      <c r="O21" s="13">
        <f>N21/(N21+L21+J21+H21+F21)</f>
        <v/>
      </c>
    </row>
    <row r="22">
      <c r="A22" s="2" t="inlineStr">
        <is>
          <t>CLEMENTINES</t>
        </is>
      </c>
      <c r="B22" s="6" t="n">
        <v>45985</v>
      </c>
      <c r="C22" s="11" t="inlineStr">
        <is>
          <t>1</t>
        </is>
      </c>
      <c r="D22" s="9" t="n">
        <v>272</v>
      </c>
      <c r="E22" s="9" t="n">
        <v>17</v>
      </c>
      <c r="F22" s="9" t="n">
        <v>2464</v>
      </c>
      <c r="G22" s="4" t="n">
        <v>0.8354</v>
      </c>
      <c r="H22" s="9" t="n">
        <v>0</v>
      </c>
      <c r="I22" s="4" t="n">
        <v>0</v>
      </c>
      <c r="J22" s="9" t="n">
        <v>0</v>
      </c>
      <c r="K22" s="4" t="n">
        <v>0</v>
      </c>
      <c r="L22" s="2" t="n">
        <v>59</v>
      </c>
      <c r="M22" s="13">
        <f>L22/(N22+L22+J22+H22+F22)</f>
        <v/>
      </c>
      <c r="N22" s="2" t="n">
        <v>426</v>
      </c>
      <c r="O22" s="13">
        <f>N22/(N22+L22+J22+H22+F22)</f>
        <v/>
      </c>
    </row>
    <row r="23">
      <c r="A23" s="2" t="inlineStr">
        <is>
          <t>CLEMENTINES</t>
        </is>
      </c>
      <c r="B23" s="6" t="n">
        <v>45985</v>
      </c>
      <c r="C23" s="11" t="inlineStr">
        <is>
          <t>2B</t>
        </is>
      </c>
      <c r="D23" s="9" t="n">
        <v>2928</v>
      </c>
      <c r="E23" s="9" t="n">
        <v>183</v>
      </c>
      <c r="F23" s="9" t="n">
        <v>26289</v>
      </c>
      <c r="G23" s="4" t="n">
        <v>0.828</v>
      </c>
      <c r="H23" s="9" t="n">
        <v>0</v>
      </c>
      <c r="I23" s="4" t="n">
        <v>0</v>
      </c>
      <c r="J23" s="9" t="n">
        <v>0</v>
      </c>
      <c r="K23" s="4" t="n">
        <v>0</v>
      </c>
      <c r="L23" s="2" t="n">
        <v>635</v>
      </c>
      <c r="M23" s="13">
        <f>L23/(N23+L23+J23+H23+F23)</f>
        <v/>
      </c>
      <c r="N23" s="2" t="n">
        <v>4827</v>
      </c>
      <c r="O23" s="13">
        <f>N23/(N23+L23+J23+H23+F23)</f>
        <v/>
      </c>
    </row>
    <row r="24">
      <c r="A24" s="2" t="inlineStr">
        <is>
          <t>GRAPEFRUIT</t>
        </is>
      </c>
      <c r="B24" s="6" t="n">
        <v>45964</v>
      </c>
      <c r="C24" s="11" t="inlineStr">
        <is>
          <t>15</t>
        </is>
      </c>
      <c r="D24" s="9">
        <f>E24*16</f>
        <v/>
      </c>
      <c r="E24" s="9" t="n">
        <v>128</v>
      </c>
      <c r="F24" s="9" t="n">
        <v>2512</v>
      </c>
      <c r="G24" s="4" t="n">
        <v>0.89331</v>
      </c>
      <c r="H24" s="9" t="n">
        <v>300</v>
      </c>
      <c r="I24" s="4" t="n">
        <v>0.10669</v>
      </c>
      <c r="J24" s="9" t="n">
        <v>0</v>
      </c>
      <c r="K24" s="4" t="n">
        <v>0</v>
      </c>
      <c r="L24" s="2" t="n">
        <v>59</v>
      </c>
      <c r="M24" s="13">
        <f>L24/(N24+L24+J24+H24+F24)</f>
        <v/>
      </c>
      <c r="N24" s="2" t="n">
        <v>98</v>
      </c>
      <c r="O24" s="13">
        <f>N24/(N24+L24+J24+H24+F24)</f>
        <v/>
      </c>
    </row>
    <row r="25" customFormat="1" s="2">
      <c r="A25" s="2" t="inlineStr">
        <is>
          <t>NAVEL</t>
        </is>
      </c>
      <c r="B25" s="6" t="n">
        <v>46085</v>
      </c>
      <c r="C25" s="11" t="inlineStr">
        <is>
          <t>3</t>
        </is>
      </c>
      <c r="D25" s="9">
        <f>E25*16</f>
        <v/>
      </c>
      <c r="E25" s="9" t="n">
        <v>200</v>
      </c>
      <c r="F25" s="9" t="n">
        <v>3287</v>
      </c>
      <c r="G25" s="4">
        <f>F25/4333</f>
        <v/>
      </c>
      <c r="H25" s="9" t="n">
        <v>1046</v>
      </c>
      <c r="I25" s="4">
        <f>H25/4333</f>
        <v/>
      </c>
      <c r="J25" s="9" t="n">
        <v>0</v>
      </c>
      <c r="K25" s="4">
        <f>J25/4333</f>
        <v/>
      </c>
      <c r="L25" s="2" t="n">
        <v>93</v>
      </c>
      <c r="M25" s="13">
        <f>L25/(N25+L25+J25+H25+F25)</f>
        <v/>
      </c>
      <c r="N25" s="2" t="n">
        <v>214</v>
      </c>
      <c r="O25" s="13">
        <f>N25/(N25+L25+J25+H25+F25)</f>
        <v/>
      </c>
    </row>
    <row r="26">
      <c r="A26" s="2" t="inlineStr">
        <is>
          <t>NAVEL</t>
        </is>
      </c>
      <c r="B26" s="6" t="n">
        <v>46085</v>
      </c>
      <c r="C26" s="11" t="inlineStr">
        <is>
          <t>14W</t>
        </is>
      </c>
      <c r="D26" s="9">
        <f>E26*16</f>
        <v/>
      </c>
      <c r="E26" s="9" t="n">
        <v>114</v>
      </c>
      <c r="F26" s="9" t="n">
        <v>1722</v>
      </c>
      <c r="G26" s="4">
        <f>F26/2131</f>
        <v/>
      </c>
      <c r="H26" s="9" t="n">
        <v>409</v>
      </c>
      <c r="I26" s="4">
        <f>H26/2131</f>
        <v/>
      </c>
      <c r="J26" s="9" t="n">
        <v>0</v>
      </c>
      <c r="K26" s="4">
        <f>J26/2131</f>
        <v/>
      </c>
      <c r="L26" s="2" t="n">
        <v>53</v>
      </c>
      <c r="M26" s="13">
        <f>L26/(N26+L26+J26+H26+F26)</f>
        <v/>
      </c>
      <c r="N26" s="2" t="n">
        <v>461</v>
      </c>
      <c r="O26" s="13">
        <f>N26/(N26+L26+J26+H26+F26)</f>
        <v/>
      </c>
    </row>
    <row r="27">
      <c r="A27" s="2" t="inlineStr">
        <is>
          <t>NAVEL</t>
        </is>
      </c>
      <c r="B27" s="6" t="n">
        <v>46055</v>
      </c>
      <c r="C27" s="11" t="inlineStr">
        <is>
          <t>13W</t>
        </is>
      </c>
      <c r="D27" s="9" t="n">
        <v>2544</v>
      </c>
      <c r="E27" s="9">
        <f>D27/16</f>
        <v/>
      </c>
      <c r="F27" s="9" t="n">
        <v>2620</v>
      </c>
      <c r="G27" s="4" t="n">
        <v>0.7164</v>
      </c>
      <c r="H27" s="9" t="n">
        <v>544</v>
      </c>
      <c r="I27" s="4" t="n">
        <v>0.1488</v>
      </c>
      <c r="J27" s="9" t="n">
        <v>0</v>
      </c>
      <c r="K27" s="4" t="n">
        <v>0</v>
      </c>
      <c r="L27" s="2" t="n">
        <v>73</v>
      </c>
      <c r="M27" s="13">
        <f>L27/(N27+L27+J27+H27+F27)</f>
        <v/>
      </c>
      <c r="N27" s="2" t="n">
        <v>420</v>
      </c>
      <c r="O27" s="13">
        <f>N27/(N27+L27+J27+H27+F27)</f>
        <v/>
      </c>
    </row>
    <row r="28">
      <c r="A28" s="2" t="inlineStr">
        <is>
          <t>NAVEL</t>
        </is>
      </c>
      <c r="B28" s="6" t="n">
        <v>46055</v>
      </c>
      <c r="C28" s="11" t="inlineStr">
        <is>
          <t>18W</t>
        </is>
      </c>
      <c r="D28" s="9" t="n">
        <v>3840</v>
      </c>
      <c r="E28" s="9">
        <f>D28/16</f>
        <v/>
      </c>
      <c r="F28" s="9" t="n">
        <v>3261</v>
      </c>
      <c r="G28" s="4" t="n">
        <v>0.8492</v>
      </c>
      <c r="H28" s="9" t="n">
        <v>1049</v>
      </c>
      <c r="I28" s="4" t="n">
        <v>0.2732</v>
      </c>
      <c r="J28" s="9" t="n">
        <v>0</v>
      </c>
      <c r="K28" s="4" t="n">
        <v>0</v>
      </c>
      <c r="L28" s="2" t="n">
        <v>110</v>
      </c>
      <c r="M28" s="13">
        <f>L28/(N28+L28+J28+H28+F28)</f>
        <v/>
      </c>
      <c r="N28" s="2" t="n">
        <v>1100</v>
      </c>
      <c r="O28" s="13">
        <f>N28/(N28+L28+J28+H28+F28)</f>
        <v/>
      </c>
    </row>
    <row r="29">
      <c r="A29" s="2" t="inlineStr">
        <is>
          <t>MURCOTTS</t>
        </is>
      </c>
      <c r="B29" s="6" t="n">
        <v>46050</v>
      </c>
      <c r="C29" s="11" t="inlineStr">
        <is>
          <t>11</t>
        </is>
      </c>
      <c r="D29" s="9" t="n">
        <v>480</v>
      </c>
      <c r="E29" s="9">
        <f>D29/16</f>
        <v/>
      </c>
      <c r="F29" s="9" t="n">
        <v>4162</v>
      </c>
      <c r="G29" s="4" t="n">
        <v>0.7996</v>
      </c>
      <c r="H29" s="9" t="n">
        <v>0</v>
      </c>
      <c r="I29" s="4" t="n">
        <v>0</v>
      </c>
      <c r="J29" s="9" t="n">
        <v>0</v>
      </c>
      <c r="K29" s="4" t="n">
        <v>0</v>
      </c>
      <c r="L29" s="2" t="n">
        <v>104</v>
      </c>
      <c r="M29" s="13">
        <f>L29/(N29+L29+J29+H29+F29)</f>
        <v/>
      </c>
      <c r="N29" s="2" t="n">
        <v>939</v>
      </c>
      <c r="O29" s="13">
        <f>N29/(N29+L29+J29+H29+F29)</f>
        <v/>
      </c>
    </row>
    <row r="30">
      <c r="A30" s="2" t="inlineStr">
        <is>
          <t>MURCOTTS</t>
        </is>
      </c>
      <c r="B30" s="6" t="n">
        <v>46051</v>
      </c>
      <c r="C30" s="11" t="inlineStr">
        <is>
          <t>11</t>
        </is>
      </c>
      <c r="D30" s="9" t="n">
        <v>32</v>
      </c>
      <c r="E30" s="9">
        <f>D30/16</f>
        <v/>
      </c>
      <c r="F30" s="9" t="n">
        <v>219</v>
      </c>
      <c r="G30" s="4" t="n">
        <v>0.6311</v>
      </c>
      <c r="H30" s="9" t="n">
        <v>0</v>
      </c>
      <c r="I30" s="4" t="n">
        <v>0</v>
      </c>
      <c r="J30" s="9" t="n">
        <v>0</v>
      </c>
      <c r="K30" s="4" t="n">
        <v>0</v>
      </c>
      <c r="L30" s="2" t="n">
        <v>7</v>
      </c>
      <c r="M30" s="13">
        <f>L30/(N30+L30+J30+H30+F30)</f>
        <v/>
      </c>
      <c r="N30" s="2" t="n">
        <v>121</v>
      </c>
      <c r="O30" s="13">
        <f>N30/(N30+L30+J30+H30+F30)</f>
        <v/>
      </c>
    </row>
    <row r="31">
      <c r="A31" s="2" t="inlineStr">
        <is>
          <t>MURCOTTS</t>
        </is>
      </c>
      <c r="B31" s="6" t="n">
        <v>46050</v>
      </c>
      <c r="C31" s="11" t="inlineStr">
        <is>
          <t>2A</t>
        </is>
      </c>
      <c r="D31" s="9" t="n">
        <v>2448</v>
      </c>
      <c r="E31" s="9">
        <f>D31/16</f>
        <v/>
      </c>
      <c r="F31" s="9" t="n">
        <v>19925</v>
      </c>
      <c r="G31" s="4" t="n">
        <v>0.7506</v>
      </c>
      <c r="H31" s="9" t="n">
        <v>0</v>
      </c>
      <c r="I31" s="4" t="n">
        <v>0</v>
      </c>
      <c r="J31" s="9" t="n">
        <v>0</v>
      </c>
      <c r="K31" s="4" t="n">
        <v>0</v>
      </c>
      <c r="L31" s="2" t="n">
        <v>531</v>
      </c>
      <c r="M31" s="13">
        <f>L31/(N31+L31+J31+H31+F31)</f>
        <v/>
      </c>
      <c r="N31" s="2" t="n">
        <v>6090</v>
      </c>
      <c r="O31" s="13">
        <f>N31/(N31+L31+J31+H31+F31)</f>
        <v/>
      </c>
    </row>
    <row r="32">
      <c r="A32" s="2" t="inlineStr">
        <is>
          <t>MURCOTTS</t>
        </is>
      </c>
      <c r="B32" s="6" t="n">
        <v>46051</v>
      </c>
      <c r="C32" s="11" t="inlineStr">
        <is>
          <t>2A</t>
        </is>
      </c>
      <c r="D32" s="9" t="n">
        <v>64</v>
      </c>
      <c r="E32" s="9">
        <f>D32/16</f>
        <v/>
      </c>
      <c r="F32" s="9" t="n">
        <v>439</v>
      </c>
      <c r="G32" s="4" t="n">
        <v>0.6326000000000001</v>
      </c>
      <c r="H32" s="9" t="n">
        <v>0</v>
      </c>
      <c r="I32" s="4" t="n">
        <v>0</v>
      </c>
      <c r="J32" s="9" t="n">
        <v>0</v>
      </c>
      <c r="K32" s="4" t="n">
        <v>0</v>
      </c>
      <c r="L32" s="2" t="n">
        <v>14</v>
      </c>
      <c r="M32" s="13">
        <f>L32/(N32+L32+J32+H32+F32)</f>
        <v/>
      </c>
      <c r="N32" s="2" t="n">
        <v>241</v>
      </c>
      <c r="O32" s="13">
        <f>N32/(N32+L32+J32+H32+F32)</f>
        <v/>
      </c>
    </row>
    <row r="33">
      <c r="A33" s="2" t="inlineStr">
        <is>
          <t>MURCOTTS</t>
        </is>
      </c>
      <c r="B33" s="6" t="n">
        <v>46051</v>
      </c>
      <c r="C33" s="11" t="inlineStr">
        <is>
          <t>2A</t>
        </is>
      </c>
      <c r="D33" s="9" t="n">
        <v>1376</v>
      </c>
      <c r="E33" s="9">
        <f>D33/16</f>
        <v/>
      </c>
      <c r="F33" s="9" t="n">
        <v>11595</v>
      </c>
      <c r="G33" s="4" t="n">
        <v>0.7771</v>
      </c>
      <c r="H33" s="9" t="n">
        <v>0</v>
      </c>
      <c r="I33" s="4" t="n">
        <v>0</v>
      </c>
      <c r="J33" s="9" t="n">
        <v>0</v>
      </c>
      <c r="K33" s="4" t="n">
        <v>0</v>
      </c>
      <c r="L33" s="2" t="n">
        <v>298</v>
      </c>
      <c r="M33" s="13">
        <f>L33/(N33+L33+J33+H33+F33)</f>
        <v/>
      </c>
      <c r="N33" s="2" t="n">
        <v>3028</v>
      </c>
      <c r="O33" s="13">
        <f>N33/(N33+L33+J33+H33+F33)</f>
        <v/>
      </c>
    </row>
    <row r="34">
      <c r="A34" s="2" t="inlineStr">
        <is>
          <t>GRAPEFRUIT</t>
        </is>
      </c>
      <c r="B34" s="6" t="n">
        <v>46141</v>
      </c>
      <c r="C34" s="11" t="inlineStr">
        <is>
          <t>15</t>
        </is>
      </c>
      <c r="D34" s="9">
        <f>E34*16</f>
        <v/>
      </c>
      <c r="E34" s="9" t="n">
        <v>134.5</v>
      </c>
      <c r="F34" s="9" t="n">
        <v>2683</v>
      </c>
      <c r="G34" s="4" t="n">
        <v>0.87508</v>
      </c>
      <c r="H34" s="9" t="n">
        <v>383</v>
      </c>
      <c r="I34" s="4" t="n">
        <v>0.12492</v>
      </c>
      <c r="J34" s="9" t="n">
        <v>0</v>
      </c>
      <c r="K34" s="4" t="n">
        <v>0</v>
      </c>
      <c r="L34" s="2" t="n">
        <v>54</v>
      </c>
      <c r="M34" s="13">
        <f>L34/(N34+L34+J34+H34+F34)</f>
        <v/>
      </c>
      <c r="N34" s="2" t="n">
        <v>0</v>
      </c>
      <c r="O34" s="13">
        <f>N34/(N34+L34+J34+H34+F34)</f>
        <v/>
      </c>
    </row>
    <row r="35">
      <c r="A35" s="2" t="inlineStr">
        <is>
          <t>NAVEL</t>
        </is>
      </c>
      <c r="B35" s="6" t="n">
        <v>46148</v>
      </c>
      <c r="C35" s="11" t="inlineStr">
        <is>
          <t>3</t>
        </is>
      </c>
      <c r="D35" s="9">
        <f>E35*16</f>
        <v/>
      </c>
      <c r="E35" s="9" t="n">
        <v>349.75</v>
      </c>
      <c r="F35" s="9" t="n">
        <v>4082</v>
      </c>
      <c r="G35" s="4" t="n">
        <v>0.6299400000000001</v>
      </c>
      <c r="H35" s="9" t="n">
        <v>2398</v>
      </c>
      <c r="I35" s="4" t="n">
        <v>0.37006</v>
      </c>
      <c r="J35" s="9" t="n">
        <v>0</v>
      </c>
      <c r="K35" s="4" t="n">
        <v>0</v>
      </c>
      <c r="L35" s="2" t="n">
        <v>162</v>
      </c>
      <c r="M35" s="13">
        <f>L35/(N35+L35+J35+H35+F35)</f>
        <v/>
      </c>
      <c r="N35" s="2" t="n">
        <v>1472</v>
      </c>
      <c r="O35" s="13">
        <f>N35/(N35+L35+J35+H35+F35)</f>
        <v/>
      </c>
    </row>
    <row r="36">
      <c r="A36" s="2" t="inlineStr">
        <is>
          <t>VALENCIA</t>
        </is>
      </c>
      <c r="B36" s="6" t="n">
        <v>46177</v>
      </c>
      <c r="C36" s="11" t="inlineStr">
        <is>
          <t>4</t>
        </is>
      </c>
      <c r="D36" s="9">
        <f>E36*16</f>
        <v/>
      </c>
      <c r="E36" s="9" t="n">
        <v>500</v>
      </c>
      <c r="F36" s="9" t="n">
        <v>5170</v>
      </c>
      <c r="G36" s="4" t="n">
        <v>0.4621</v>
      </c>
      <c r="H36" s="9" t="n">
        <v>6018</v>
      </c>
      <c r="I36" s="4" t="n">
        <v>0.5379</v>
      </c>
      <c r="J36" s="9" t="n">
        <v>0</v>
      </c>
      <c r="K36" s="4" t="n">
        <v>0</v>
      </c>
      <c r="L36" s="2" t="n">
        <v>232</v>
      </c>
      <c r="M36" s="13">
        <f>L36/(N36+L36+J36+H36+F36)</f>
        <v/>
      </c>
      <c r="N36" s="2" t="n">
        <v>180</v>
      </c>
      <c r="O36" s="13">
        <f>N36/(N36+L36+J36+H36+F36)</f>
        <v/>
      </c>
    </row>
    <row r="37">
      <c r="A37" s="2" t="inlineStr">
        <is>
          <t>CARA-CARA</t>
        </is>
      </c>
      <c r="B37" s="6" t="n">
        <v>46056</v>
      </c>
      <c r="C37" s="11" t="inlineStr">
        <is>
          <t>9</t>
        </is>
      </c>
      <c r="D37" s="9" t="n">
        <v>2400</v>
      </c>
      <c r="E37" s="9">
        <f>D37/16</f>
        <v/>
      </c>
      <c r="F37" s="9" t="n">
        <v>2468</v>
      </c>
      <c r="G37" s="4" t="n">
        <v>0.7154</v>
      </c>
      <c r="H37" s="9" t="n">
        <v>204</v>
      </c>
      <c r="I37" s="4" t="n">
        <v>0.0591</v>
      </c>
      <c r="J37" s="9" t="n">
        <v>0</v>
      </c>
      <c r="K37" s="4" t="n">
        <v>0</v>
      </c>
      <c r="L37" s="2" t="n">
        <v>69</v>
      </c>
      <c r="M37" s="13">
        <f>L37/(N37+L37+J37+H37+F37)</f>
        <v/>
      </c>
      <c r="N37" s="2" t="n">
        <v>709</v>
      </c>
      <c r="O37" s="13">
        <f>N37/(N37+L37+J37+H37+F37)</f>
        <v/>
      </c>
    </row>
    <row r="38">
      <c r="A38" s="2" t="inlineStr">
        <is>
          <t>CARA-CARA</t>
        </is>
      </c>
      <c r="B38" s="6" t="n">
        <v>46062</v>
      </c>
      <c r="C38" s="11" t="inlineStr">
        <is>
          <t>9</t>
        </is>
      </c>
      <c r="D38" s="9" t="n">
        <v>3696</v>
      </c>
      <c r="E38" s="9">
        <f>D38/16</f>
        <v/>
      </c>
      <c r="F38" s="9" t="n">
        <v>3549</v>
      </c>
      <c r="G38" s="4" t="n">
        <v>0.668</v>
      </c>
      <c r="H38" s="9" t="n">
        <v>370</v>
      </c>
      <c r="I38" s="4" t="n">
        <v>0.0696</v>
      </c>
      <c r="J38" s="9" t="n">
        <v>0</v>
      </c>
      <c r="K38" s="4" t="n">
        <v>0</v>
      </c>
      <c r="L38" s="2" t="n">
        <v>106</v>
      </c>
      <c r="M38" s="13">
        <f>L38/(N38+L38+J38+H38+F38)</f>
        <v/>
      </c>
      <c r="N38" s="2" t="n">
        <v>1288</v>
      </c>
      <c r="O38" s="13">
        <f>N38/(N38+L38+J38+H38+F38)</f>
        <v/>
      </c>
    </row>
    <row r="39">
      <c r="A39" s="2" t="inlineStr">
        <is>
          <t>CARA-CARA</t>
        </is>
      </c>
      <c r="B39" s="6" t="n">
        <v>46130</v>
      </c>
      <c r="C39" s="11" t="inlineStr">
        <is>
          <t>9</t>
        </is>
      </c>
      <c r="D39" s="9" t="n">
        <v>3200</v>
      </c>
      <c r="E39" s="9">
        <f>D39/16</f>
        <v/>
      </c>
      <c r="F39" s="9" t="n">
        <v>2469</v>
      </c>
      <c r="G39" s="4" t="n">
        <v>0.5367</v>
      </c>
      <c r="H39" s="9" t="n">
        <v>638</v>
      </c>
      <c r="I39" s="4" t="n">
        <v>0.1387</v>
      </c>
      <c r="J39" s="9" t="n">
        <v>0</v>
      </c>
      <c r="K39" s="4" t="n">
        <v>0</v>
      </c>
      <c r="L39" s="2" t="n">
        <v>92</v>
      </c>
      <c r="M39" s="13">
        <f>L39/(N39+L39+J39+H39+F39)</f>
        <v/>
      </c>
      <c r="N39" s="2" t="n">
        <v>1401</v>
      </c>
      <c r="O39" s="13">
        <f>N39/(N39+L39+J39+H39+F39)</f>
        <v/>
      </c>
    </row>
    <row r="40">
      <c r="A40" s="2" t="inlineStr">
        <is>
          <t>CARA-CARA</t>
        </is>
      </c>
      <c r="B40" s="6" t="n">
        <v>46134</v>
      </c>
      <c r="C40" s="11" t="inlineStr">
        <is>
          <t>9</t>
        </is>
      </c>
      <c r="D40" s="9" t="n">
        <v>4632</v>
      </c>
      <c r="E40" s="9">
        <f>D40/16</f>
        <v/>
      </c>
      <c r="F40" s="9" t="n">
        <v>3708</v>
      </c>
      <c r="G40" s="4" t="n">
        <v>0.5569</v>
      </c>
      <c r="H40" s="9" t="n">
        <v>489</v>
      </c>
      <c r="I40" s="4" t="n">
        <v>0.07340000000000001</v>
      </c>
      <c r="J40" s="9" t="n">
        <v>0</v>
      </c>
      <c r="K40" s="4" t="n">
        <v>0</v>
      </c>
      <c r="L40" s="2" t="n">
        <v>133</v>
      </c>
      <c r="M40" s="13">
        <f>L40/(N40+L40+J40+H40+F40)</f>
        <v/>
      </c>
      <c r="N40" s="2" t="n">
        <v>2328</v>
      </c>
      <c r="O40" s="13">
        <f>N40/(N40+L40+J40+H40+F40)</f>
        <v/>
      </c>
    </row>
    <row r="41">
      <c r="A41" s="2" t="inlineStr">
        <is>
          <t>VALENCIA</t>
        </is>
      </c>
      <c r="B41" s="6" t="n">
        <v>46240</v>
      </c>
      <c r="C41" s="11" t="inlineStr">
        <is>
          <t>4</t>
        </is>
      </c>
      <c r="D41" s="9">
        <f>E41*16</f>
        <v/>
      </c>
      <c r="E41" s="9" t="n">
        <v>395</v>
      </c>
      <c r="F41" s="9" t="n">
        <v>5087</v>
      </c>
      <c r="G41" s="4" t="n">
        <v>0.61032</v>
      </c>
      <c r="H41" s="9" t="n">
        <v>3248</v>
      </c>
      <c r="I41" s="4" t="n">
        <v>0.38968</v>
      </c>
      <c r="J41" s="9" t="n">
        <v>0</v>
      </c>
      <c r="K41" s="4" t="n">
        <v>0</v>
      </c>
      <c r="L41" s="2" t="n">
        <v>183</v>
      </c>
      <c r="M41" s="13">
        <f>L41/(N41+L41+J41+H41+F41)</f>
        <v/>
      </c>
      <c r="N41" s="2" t="n">
        <v>646</v>
      </c>
      <c r="O41" s="13">
        <f>N41/(N41+L41+J41+H41+F41)</f>
        <v/>
      </c>
    </row>
    <row r="42">
      <c r="A42" s="2" t="inlineStr">
        <is>
          <t>VALENCIA</t>
        </is>
      </c>
      <c r="B42" s="6" t="n">
        <v>46240</v>
      </c>
      <c r="C42" s="11" t="inlineStr">
        <is>
          <t>5</t>
        </is>
      </c>
      <c r="D42" s="9">
        <f>E42*16</f>
        <v/>
      </c>
      <c r="E42" s="9" t="n">
        <v>302</v>
      </c>
      <c r="F42" s="9" t="n">
        <v>3929</v>
      </c>
      <c r="G42" s="4" t="n">
        <v>0.63535</v>
      </c>
      <c r="H42" s="9" t="n">
        <v>2255</v>
      </c>
      <c r="I42" s="4" t="n">
        <v>0.36465</v>
      </c>
      <c r="J42" s="9" t="n">
        <v>0</v>
      </c>
      <c r="K42" s="4" t="n">
        <v>0</v>
      </c>
      <c r="L42" s="2" t="n">
        <v>140</v>
      </c>
      <c r="M42" s="13">
        <f>L42/(N42+L42+J42+H42+F42)</f>
        <v/>
      </c>
      <c r="N42" s="2" t="n">
        <v>682</v>
      </c>
      <c r="O42" s="13">
        <f>N42/(N42+L42+J42+H42+F42)</f>
        <v/>
      </c>
    </row>
    <row r="43">
      <c r="A43" s="2" t="inlineStr">
        <is>
          <t>NAVEL</t>
        </is>
      </c>
      <c r="B43" s="6" t="n">
        <v>45401</v>
      </c>
      <c r="C43" s="11" t="inlineStr">
        <is>
          <t>10</t>
        </is>
      </c>
      <c r="D43" s="9">
        <f>E43*16</f>
        <v/>
      </c>
      <c r="E43" s="9" t="n">
        <v>197</v>
      </c>
      <c r="F43" s="9" t="n">
        <v>2464</v>
      </c>
      <c r="G43" s="4" t="n">
        <v>0.54381</v>
      </c>
      <c r="H43" s="9" t="n">
        <v>941</v>
      </c>
      <c r="I43" s="4" t="n">
        <v>0.20768</v>
      </c>
      <c r="J43" s="9" t="n">
        <v>0</v>
      </c>
      <c r="K43" s="4" t="n">
        <v>0</v>
      </c>
      <c r="L43" s="2" t="n">
        <v>91</v>
      </c>
      <c r="M43" s="13">
        <f>L43/(N43+L43+J43+H43+F43)</f>
        <v/>
      </c>
      <c r="N43" s="2" t="n">
        <v>1035</v>
      </c>
      <c r="O43" s="13">
        <f>N43/(N43+L43+J43+H43+F43)</f>
        <v/>
      </c>
    </row>
    <row r="44">
      <c r="A44" s="2" t="inlineStr">
        <is>
          <t>NAVEL</t>
        </is>
      </c>
      <c r="B44" s="6" t="n">
        <v>45400</v>
      </c>
      <c r="C44" s="11" t="inlineStr">
        <is>
          <t>10</t>
        </is>
      </c>
      <c r="D44" s="9">
        <f>E44*16</f>
        <v/>
      </c>
      <c r="E44" s="9" t="n">
        <v>250</v>
      </c>
      <c r="F44" s="9" t="n">
        <v>3410</v>
      </c>
      <c r="G44" s="4" t="n">
        <v>0.59315</v>
      </c>
      <c r="H44" s="9" t="n">
        <v>1002</v>
      </c>
      <c r="I44" s="4" t="n">
        <v>0.17429</v>
      </c>
      <c r="J44" s="9" t="n">
        <v>0</v>
      </c>
      <c r="K44" s="4" t="n">
        <v>0</v>
      </c>
      <c r="L44" s="2" t="n">
        <v>115</v>
      </c>
      <c r="M44" s="13">
        <f>L44/(N44+L44+J44+H44+F44)</f>
        <v/>
      </c>
      <c r="N44" s="2" t="n">
        <v>1222</v>
      </c>
      <c r="O44" s="13">
        <f>N44/(N44+L44+J44+H44+F44)</f>
        <v/>
      </c>
    </row>
    <row r="45">
      <c r="A45" s="2" t="inlineStr">
        <is>
          <t>MURCOTTS</t>
        </is>
      </c>
      <c r="B45" s="6" t="n">
        <v>45395</v>
      </c>
      <c r="C45" s="11" t="inlineStr">
        <is>
          <t>11</t>
        </is>
      </c>
      <c r="D45" s="9">
        <f>E45*16</f>
        <v/>
      </c>
      <c r="E45" s="9" t="n">
        <v>144</v>
      </c>
      <c r="F45" s="9" t="n">
        <v>10708</v>
      </c>
      <c r="G45" s="4" t="n">
        <v>0.42859</v>
      </c>
      <c r="H45" s="9" t="n">
        <v>0</v>
      </c>
      <c r="I45" s="4" t="n">
        <v>0</v>
      </c>
      <c r="J45" s="9" t="n">
        <v>0</v>
      </c>
      <c r="K45" s="4" t="n">
        <v>0</v>
      </c>
      <c r="L45" s="2" t="n">
        <v>500</v>
      </c>
      <c r="M45" s="13">
        <f>L45/(N45+L45+J45+H45+F45)</f>
        <v/>
      </c>
      <c r="N45" s="2" t="n">
        <v>13776</v>
      </c>
      <c r="O45" s="13">
        <f>N45/(N45+L45+J45+H45+F45)</f>
        <v/>
      </c>
    </row>
    <row r="46">
      <c r="A46" s="2" t="inlineStr">
        <is>
          <t>LEMONS</t>
        </is>
      </c>
      <c r="B46" s="6" t="n">
        <v>45426</v>
      </c>
      <c r="C46" s="11" t="inlineStr">
        <is>
          <t>12</t>
        </is>
      </c>
      <c r="D46" s="9">
        <f>E46*16</f>
        <v/>
      </c>
      <c r="E46" s="9" t="n">
        <v>150</v>
      </c>
      <c r="F46" s="9" t="n">
        <v>1092</v>
      </c>
      <c r="G46" s="4" t="n">
        <v>0.33091</v>
      </c>
      <c r="H46" s="9" t="n">
        <v>874</v>
      </c>
      <c r="I46" s="4" t="n">
        <v>0.26485</v>
      </c>
      <c r="J46" s="9" t="n">
        <v>0</v>
      </c>
      <c r="K46" s="4" t="n">
        <v>0</v>
      </c>
      <c r="L46" s="2" t="n">
        <v>66</v>
      </c>
      <c r="M46" s="13">
        <f>L46/(N46+L46+J46+H46+F46)</f>
        <v/>
      </c>
      <c r="N46" s="2" t="n">
        <v>1268</v>
      </c>
      <c r="O46" s="13">
        <f>N46/(N46+L46+J46+H46+F46)</f>
        <v/>
      </c>
    </row>
    <row r="47">
      <c r="A47" s="2" t="inlineStr">
        <is>
          <t>LEMONS</t>
        </is>
      </c>
      <c r="B47" s="6" t="n">
        <v>45265</v>
      </c>
      <c r="C47" s="11" t="inlineStr">
        <is>
          <t>12</t>
        </is>
      </c>
      <c r="D47" s="9">
        <f>E47*16</f>
        <v/>
      </c>
      <c r="E47" s="9" t="n">
        <v>134</v>
      </c>
      <c r="F47" s="9" t="n">
        <v>1544</v>
      </c>
      <c r="G47" s="4" t="n">
        <v>0.52374</v>
      </c>
      <c r="H47" s="9" t="n">
        <v>669</v>
      </c>
      <c r="I47" s="4" t="n">
        <v>0.22693</v>
      </c>
      <c r="J47" s="9" t="n">
        <v>0</v>
      </c>
      <c r="K47" s="4" t="n">
        <v>0</v>
      </c>
      <c r="L47" s="2" t="n">
        <v>59</v>
      </c>
      <c r="M47" s="13">
        <f>L47/(N47+L47+J47+H47+F47)</f>
        <v/>
      </c>
      <c r="N47" s="2" t="n">
        <v>676</v>
      </c>
      <c r="O47" s="13">
        <f>N47/(N47+L47+J47+H47+F47)</f>
        <v/>
      </c>
    </row>
    <row r="48">
      <c r="A48" s="2" t="inlineStr">
        <is>
          <t>LEMONS</t>
        </is>
      </c>
      <c r="B48" s="6" t="n">
        <v>45261</v>
      </c>
      <c r="C48" s="11" t="inlineStr">
        <is>
          <t>12</t>
        </is>
      </c>
      <c r="D48" s="9">
        <f>E48*16</f>
        <v/>
      </c>
      <c r="E48" s="9" t="n">
        <v>100</v>
      </c>
      <c r="F48" s="9" t="n">
        <v>1125</v>
      </c>
      <c r="G48" s="4" t="n">
        <v>0.51136</v>
      </c>
      <c r="H48" s="9" t="n">
        <v>523</v>
      </c>
      <c r="I48" s="4" t="n">
        <v>0.23773</v>
      </c>
      <c r="J48" s="9" t="n">
        <v>0</v>
      </c>
      <c r="K48" s="4" t="n">
        <v>0</v>
      </c>
      <c r="L48" s="2" t="n">
        <v>44</v>
      </c>
      <c r="M48" s="13">
        <f>L48/(N48+L48+J48+H48+F48)</f>
        <v/>
      </c>
      <c r="N48" s="2" t="n">
        <v>508</v>
      </c>
      <c r="O48" s="13">
        <f>N48/(N48+L48+J48+H48+F48)</f>
        <v/>
      </c>
    </row>
    <row r="49">
      <c r="A49" s="2" t="inlineStr">
        <is>
          <t>LEMONS</t>
        </is>
      </c>
      <c r="B49" s="6" t="n">
        <v>45260</v>
      </c>
      <c r="C49" s="11" t="inlineStr">
        <is>
          <t>12</t>
        </is>
      </c>
      <c r="D49" s="9">
        <f>E49*16</f>
        <v/>
      </c>
      <c r="E49" s="9" t="n">
        <v>100</v>
      </c>
      <c r="F49" s="9" t="n">
        <v>1222</v>
      </c>
      <c r="G49" s="4" t="n">
        <v>0.55545</v>
      </c>
      <c r="H49" s="9" t="n">
        <v>464</v>
      </c>
      <c r="I49" s="4" t="n">
        <v>0.21091</v>
      </c>
      <c r="J49" s="9" t="n">
        <v>0</v>
      </c>
      <c r="K49" s="4" t="n">
        <v>0</v>
      </c>
      <c r="L49" s="2" t="n">
        <v>44</v>
      </c>
      <c r="M49" s="13">
        <f>L49/(N49+L49+J49+H49+F49)</f>
        <v/>
      </c>
      <c r="N49" s="2" t="n">
        <v>470</v>
      </c>
      <c r="O49" s="13">
        <f>N49/(N49+L49+J49+H49+F49)</f>
        <v/>
      </c>
    </row>
    <row r="50">
      <c r="A50" s="2" t="inlineStr">
        <is>
          <t>NAVEL</t>
        </is>
      </c>
      <c r="B50" s="6" t="n">
        <v>45289</v>
      </c>
      <c r="C50" s="11" t="inlineStr">
        <is>
          <t>13W</t>
        </is>
      </c>
      <c r="D50" s="9">
        <f>E50*16</f>
        <v/>
      </c>
      <c r="E50" s="9" t="n">
        <v>64</v>
      </c>
      <c r="F50" s="9" t="n">
        <v>708</v>
      </c>
      <c r="G50" s="4" t="n">
        <v>0.48098</v>
      </c>
      <c r="H50" s="9" t="n">
        <v>471</v>
      </c>
      <c r="I50" s="4" t="n">
        <v>0.31997</v>
      </c>
      <c r="J50" s="9" t="n">
        <v>0</v>
      </c>
      <c r="K50" s="4" t="n">
        <v>0</v>
      </c>
      <c r="L50" s="2" t="n">
        <v>29</v>
      </c>
      <c r="M50" s="13">
        <f>L50/(N50+L50+J50+H50+F50)</f>
        <v/>
      </c>
      <c r="N50" s="2" t="n">
        <v>264</v>
      </c>
      <c r="O50" s="13">
        <f>N50/(N50+L50+J50+H50+F50)</f>
        <v/>
      </c>
    </row>
    <row r="51">
      <c r="A51" s="2" t="inlineStr">
        <is>
          <t>LEMONS</t>
        </is>
      </c>
      <c r="B51" s="6" t="n">
        <v>45288</v>
      </c>
      <c r="C51" s="11" t="inlineStr">
        <is>
          <t>16L</t>
        </is>
      </c>
      <c r="D51" s="9">
        <f>E51*16</f>
        <v/>
      </c>
      <c r="E51" s="9" t="n">
        <v>13</v>
      </c>
      <c r="F51" s="9" t="n">
        <v>109</v>
      </c>
      <c r="G51" s="4" t="n">
        <v>0.38112</v>
      </c>
      <c r="H51" s="9" t="n">
        <v>23</v>
      </c>
      <c r="I51" s="4" t="n">
        <v>0.08042000000000001</v>
      </c>
      <c r="J51" s="9" t="n">
        <v>0</v>
      </c>
      <c r="K51" s="4" t="n">
        <v>0</v>
      </c>
      <c r="L51" s="2" t="n">
        <v>6</v>
      </c>
      <c r="M51" s="13">
        <f>L51/(N51+L51+J51+H51+F51)</f>
        <v/>
      </c>
      <c r="N51" s="2" t="n">
        <v>148</v>
      </c>
      <c r="O51" s="13">
        <f>N51/(N51+L51+J51+H51+F51)</f>
        <v/>
      </c>
    </row>
    <row r="52">
      <c r="A52" s="2" t="inlineStr">
        <is>
          <t>LEMONS</t>
        </is>
      </c>
      <c r="B52" s="6" t="n">
        <v>45289</v>
      </c>
      <c r="C52" s="11" t="inlineStr">
        <is>
          <t>16L</t>
        </is>
      </c>
      <c r="D52" s="9">
        <f>E52*16</f>
        <v/>
      </c>
      <c r="E52" s="9" t="n">
        <v>78</v>
      </c>
      <c r="F52" s="9" t="n">
        <v>376</v>
      </c>
      <c r="G52" s="4" t="n">
        <v>0.21911</v>
      </c>
      <c r="H52" s="9" t="n">
        <v>501</v>
      </c>
      <c r="I52" s="4" t="n">
        <v>0.29196</v>
      </c>
      <c r="J52" s="9" t="n">
        <v>0</v>
      </c>
      <c r="K52" s="4" t="n">
        <v>0</v>
      </c>
      <c r="L52" s="2" t="n">
        <v>34</v>
      </c>
      <c r="M52" s="13">
        <f>L52/(N52+L52+J52+H52+F52)</f>
        <v/>
      </c>
      <c r="N52" s="2" t="n">
        <v>805</v>
      </c>
      <c r="O52" s="13">
        <f>N52/(N52+L52+J52+H52+F52)</f>
        <v/>
      </c>
    </row>
    <row r="53">
      <c r="A53" s="2" t="inlineStr">
        <is>
          <t>MURCOTTS</t>
        </is>
      </c>
      <c r="B53" s="6" t="n">
        <v>45352</v>
      </c>
      <c r="C53" s="11" t="inlineStr">
        <is>
          <t>2A</t>
        </is>
      </c>
      <c r="D53" s="9">
        <f>E53*16</f>
        <v/>
      </c>
      <c r="E53" s="9" t="n">
        <v>150</v>
      </c>
      <c r="F53" s="9" t="n">
        <v>20575</v>
      </c>
      <c r="G53" s="4" t="n">
        <v>0.79059</v>
      </c>
      <c r="H53" s="9" t="n">
        <v>0</v>
      </c>
      <c r="I53" s="4" t="n">
        <v>0</v>
      </c>
      <c r="J53" s="9" t="n">
        <v>0</v>
      </c>
      <c r="K53" s="4" t="n">
        <v>0</v>
      </c>
      <c r="L53" s="2" t="n">
        <v>521</v>
      </c>
      <c r="M53" s="13">
        <f>L53/(N53+L53+J53+H53+F53)</f>
        <v/>
      </c>
      <c r="N53" s="2" t="n">
        <v>4929</v>
      </c>
      <c r="O53" s="13">
        <f>N53/(N53+L53+J53+H53+F53)</f>
        <v/>
      </c>
    </row>
    <row r="54">
      <c r="A54" s="2" t="inlineStr">
        <is>
          <t>MURCOTTS</t>
        </is>
      </c>
      <c r="B54" s="6" t="n">
        <v>45372</v>
      </c>
      <c r="C54" s="11" t="inlineStr">
        <is>
          <t>2A</t>
        </is>
      </c>
      <c r="D54" s="9">
        <f>E54*16</f>
        <v/>
      </c>
      <c r="E54" s="9" t="n">
        <v>48</v>
      </c>
      <c r="F54" s="9" t="n">
        <v>5375</v>
      </c>
      <c r="G54" s="4" t="n">
        <v>0.64541</v>
      </c>
      <c r="H54" s="9" t="n">
        <v>0</v>
      </c>
      <c r="I54" s="4" t="n">
        <v>0</v>
      </c>
      <c r="J54" s="9" t="n">
        <v>0</v>
      </c>
      <c r="K54" s="4" t="n">
        <v>0</v>
      </c>
      <c r="L54" s="2" t="n">
        <v>167</v>
      </c>
      <c r="M54" s="13">
        <f>L54/(N54+L54+J54+H54+F54)</f>
        <v/>
      </c>
      <c r="N54" s="2" t="n">
        <v>2786</v>
      </c>
      <c r="O54" s="13">
        <f>N54/(N54+L54+J54+H54+F54)</f>
        <v/>
      </c>
    </row>
    <row r="55">
      <c r="A55" s="2" t="inlineStr">
        <is>
          <t>MURCOTTS</t>
        </is>
      </c>
      <c r="B55" s="6" t="n">
        <v>45430</v>
      </c>
      <c r="C55" s="11" t="inlineStr">
        <is>
          <t>2A</t>
        </is>
      </c>
      <c r="D55" s="9">
        <f>E55*16</f>
        <v/>
      </c>
      <c r="E55" s="9" t="n">
        <v>76</v>
      </c>
      <c r="F55" s="9" t="n">
        <v>6788</v>
      </c>
      <c r="G55" s="4" t="n">
        <v>0.51479</v>
      </c>
      <c r="H55" s="9" t="n">
        <v>0</v>
      </c>
      <c r="I55" s="4" t="n">
        <v>0</v>
      </c>
      <c r="J55" s="9" t="n">
        <v>0</v>
      </c>
      <c r="K55" s="4" t="n">
        <v>0</v>
      </c>
      <c r="L55" s="2" t="n">
        <v>264</v>
      </c>
      <c r="M55" s="13">
        <f>L55/(N55+L55+J55+H55+F55)</f>
        <v/>
      </c>
      <c r="N55" s="2" t="n">
        <v>6134</v>
      </c>
      <c r="O55" s="13">
        <f>N55/(N55+L55+J55+H55+F55)</f>
        <v/>
      </c>
    </row>
    <row r="56">
      <c r="A56" s="2" t="inlineStr">
        <is>
          <t>VALENCIA</t>
        </is>
      </c>
      <c r="B56" s="6" t="n">
        <v>45489</v>
      </c>
      <c r="C56" s="11" t="inlineStr">
        <is>
          <t>4</t>
        </is>
      </c>
      <c r="D56" s="9">
        <f>E56*16</f>
        <v/>
      </c>
      <c r="E56" s="9" t="n">
        <v>444.75</v>
      </c>
      <c r="F56" s="9" t="n">
        <v>5569</v>
      </c>
      <c r="G56" s="4" t="n">
        <v>0.6214</v>
      </c>
      <c r="H56" s="9" t="n">
        <v>3393</v>
      </c>
      <c r="I56" s="4" t="n">
        <v>0.3786</v>
      </c>
      <c r="J56" s="9" t="n">
        <v>0</v>
      </c>
      <c r="K56" s="4" t="n">
        <v>0</v>
      </c>
      <c r="L56" s="2" t="n">
        <v>364</v>
      </c>
      <c r="M56" s="13">
        <f>L56/(N56+L56+J56+H56+F56)</f>
        <v/>
      </c>
      <c r="N56" s="2" t="n">
        <v>993</v>
      </c>
      <c r="O56" s="13">
        <f>N56/(N56+L56+J56+H56+F56)</f>
        <v/>
      </c>
    </row>
    <row r="57">
      <c r="A57" s="2" t="inlineStr">
        <is>
          <t>VALENCIA</t>
        </is>
      </c>
      <c r="B57" s="6" t="n">
        <v>45440</v>
      </c>
      <c r="C57" s="11" t="inlineStr">
        <is>
          <t>5</t>
        </is>
      </c>
      <c r="D57" s="9">
        <f>E57*16</f>
        <v/>
      </c>
      <c r="E57" s="9" t="n">
        <v>174</v>
      </c>
      <c r="F57" s="9" t="n">
        <v>2924</v>
      </c>
      <c r="G57" s="4" t="n">
        <v>0.80219</v>
      </c>
      <c r="H57" s="9" t="n">
        <v>721</v>
      </c>
      <c r="I57" s="4" t="n">
        <v>0.19781</v>
      </c>
      <c r="J57" s="9" t="n">
        <v>0</v>
      </c>
      <c r="K57" s="4" t="n">
        <v>0</v>
      </c>
      <c r="L57" s="2" t="n">
        <v>196</v>
      </c>
      <c r="M57" s="13">
        <f>L57/(N57+L57+J57+H57+F57)</f>
        <v/>
      </c>
      <c r="N57" s="2" t="n">
        <v>196</v>
      </c>
      <c r="O57" s="13">
        <f>N57/(N57+L57+J57+H57+F57)</f>
        <v/>
      </c>
    </row>
    <row r="58">
      <c r="A58" s="2" t="inlineStr">
        <is>
          <t>VALENCIA</t>
        </is>
      </c>
      <c r="B58" s="6" t="n">
        <v>45488</v>
      </c>
      <c r="C58" s="11" t="inlineStr">
        <is>
          <t>6</t>
        </is>
      </c>
      <c r="D58" s="9">
        <f>E58*16</f>
        <v/>
      </c>
      <c r="E58" s="9" t="n">
        <v>209.5</v>
      </c>
      <c r="F58" s="9" t="n">
        <v>3729</v>
      </c>
      <c r="G58" s="4" t="n">
        <v>0.8183</v>
      </c>
      <c r="H58" s="9" t="n">
        <v>828</v>
      </c>
      <c r="I58" s="4" t="n">
        <v>0.1817</v>
      </c>
      <c r="J58" s="9" t="n">
        <v>0</v>
      </c>
      <c r="K58" s="4" t="n">
        <v>0</v>
      </c>
      <c r="L58" s="2" t="n">
        <v>120</v>
      </c>
      <c r="M58" s="13">
        <f>L58/(N58+L58+J58+H58+F58)</f>
        <v/>
      </c>
      <c r="N58" s="2" t="n">
        <v>184</v>
      </c>
      <c r="O58" s="13">
        <f>N58/(N58+L58+J58+H58+F58)</f>
        <v/>
      </c>
    </row>
    <row r="59">
      <c r="A59" s="2" t="inlineStr">
        <is>
          <t>VALENCIA</t>
        </is>
      </c>
      <c r="B59" s="6" t="n">
        <v>45440</v>
      </c>
      <c r="C59" s="11" t="inlineStr">
        <is>
          <t>6</t>
        </is>
      </c>
      <c r="D59" s="9">
        <f>E59*16</f>
        <v/>
      </c>
      <c r="E59" s="9" t="n">
        <v>76</v>
      </c>
      <c r="F59" s="9" t="n">
        <v>1369</v>
      </c>
      <c r="G59" s="4" t="n">
        <v>0.83527</v>
      </c>
      <c r="H59" s="9" t="n">
        <v>270</v>
      </c>
      <c r="I59" s="4" t="n">
        <v>0.16473</v>
      </c>
      <c r="J59" s="9" t="n">
        <v>0</v>
      </c>
      <c r="K59" s="4" t="n">
        <v>0</v>
      </c>
      <c r="L59" s="2" t="n">
        <v>62</v>
      </c>
      <c r="M59" s="13">
        <f>L59/(N59+L59+J59+H59+F59)</f>
        <v/>
      </c>
      <c r="N59" s="2" t="n">
        <v>62</v>
      </c>
      <c r="O59" s="13">
        <f>N59/(N59+L59+J59+H59+F59)</f>
        <v/>
      </c>
    </row>
    <row r="60">
      <c r="A60" s="2" t="inlineStr">
        <is>
          <t>VALENCIA</t>
        </is>
      </c>
      <c r="B60" s="6" t="n">
        <v>45474</v>
      </c>
      <c r="C60" s="11" t="inlineStr">
        <is>
          <t>7</t>
        </is>
      </c>
      <c r="D60" s="9">
        <f>E60*16</f>
        <v/>
      </c>
      <c r="E60" s="9" t="n">
        <v>450</v>
      </c>
      <c r="F60" s="9" t="n">
        <v>7168</v>
      </c>
      <c r="G60" s="4" t="n">
        <v>0.6938299999999999</v>
      </c>
      <c r="H60" s="9" t="n">
        <v>3163</v>
      </c>
      <c r="I60" s="4" t="n">
        <v>0.30617</v>
      </c>
      <c r="J60" s="9" t="n">
        <v>0</v>
      </c>
      <c r="K60" s="4" t="n">
        <v>0</v>
      </c>
      <c r="L60" s="2" t="n">
        <v>84</v>
      </c>
      <c r="M60" s="13">
        <f>L60/(N60+L60+J60+H60+F60)</f>
        <v/>
      </c>
      <c r="N60" s="2" t="n">
        <v>167</v>
      </c>
      <c r="O60" s="13">
        <f>N60/(N60+L60+J60+H60+F60)</f>
        <v/>
      </c>
    </row>
    <row r="61">
      <c r="A61" s="2" t="inlineStr">
        <is>
          <t>VALENCIA</t>
        </is>
      </c>
      <c r="B61" s="6" t="n">
        <v>45436</v>
      </c>
      <c r="C61" s="11" t="inlineStr">
        <is>
          <t>7</t>
        </is>
      </c>
      <c r="D61" s="9">
        <f>E61*16</f>
        <v/>
      </c>
      <c r="E61" s="9" t="n">
        <v>200</v>
      </c>
      <c r="F61" s="9" t="n">
        <v>3134</v>
      </c>
      <c r="G61" s="4" t="n">
        <v>0.7151999999999999</v>
      </c>
      <c r="H61" s="9" t="n">
        <v>1248</v>
      </c>
      <c r="I61" s="4" t="n">
        <v>0.2848</v>
      </c>
      <c r="J61" s="9" t="n">
        <v>0</v>
      </c>
      <c r="K61" s="4" t="n">
        <v>0</v>
      </c>
      <c r="L61" s="2" t="n">
        <v>129</v>
      </c>
      <c r="M61" s="13">
        <f>L61/(N61+L61+J61+H61+F61)</f>
        <v/>
      </c>
      <c r="N61" s="2" t="n">
        <v>129</v>
      </c>
      <c r="O61" s="13">
        <f>N61/(N61+L61+J61+H61+F61)</f>
        <v/>
      </c>
    </row>
    <row r="62">
      <c r="A62" s="2" t="inlineStr">
        <is>
          <t>CARA-CARA</t>
        </is>
      </c>
      <c r="B62" s="6" t="n">
        <v>45426</v>
      </c>
      <c r="C62" s="11" t="inlineStr">
        <is>
          <t>9</t>
        </is>
      </c>
      <c r="D62" s="9">
        <f>E62*16</f>
        <v/>
      </c>
      <c r="E62" s="9" t="n">
        <v>56</v>
      </c>
      <c r="F62" s="9" t="n">
        <v>657</v>
      </c>
      <c r="G62" s="4" t="n">
        <v>0.51009</v>
      </c>
      <c r="H62" s="9" t="n">
        <v>66</v>
      </c>
      <c r="I62" s="4" t="n">
        <v>0.05124</v>
      </c>
      <c r="J62" s="9" t="n">
        <v>0</v>
      </c>
      <c r="K62" s="4" t="n">
        <v>0</v>
      </c>
      <c r="L62" s="2" t="n">
        <v>26</v>
      </c>
      <c r="M62" s="13">
        <f>L62/(N62+L62+J62+H62+F62)</f>
        <v/>
      </c>
      <c r="N62" s="2" t="n">
        <v>539</v>
      </c>
      <c r="O62" s="13">
        <f>N62/(N62+L62+J62+H62+F62)</f>
        <v/>
      </c>
    </row>
    <row r="63">
      <c r="A63" s="2" t="inlineStr">
        <is>
          <t>CARA-CARA</t>
        </is>
      </c>
      <c r="B63" s="6" t="n">
        <v>45422</v>
      </c>
      <c r="C63" s="11" t="inlineStr">
        <is>
          <t>9</t>
        </is>
      </c>
      <c r="D63" s="9">
        <f>E63*16</f>
        <v/>
      </c>
      <c r="E63" s="9" t="n">
        <v>199</v>
      </c>
      <c r="F63" s="9" t="n">
        <v>1959</v>
      </c>
      <c r="G63" s="4" t="n">
        <v>0.42801</v>
      </c>
      <c r="H63" s="9" t="n">
        <v>182</v>
      </c>
      <c r="I63" s="4" t="n">
        <v>0.03976</v>
      </c>
      <c r="J63" s="9" t="n">
        <v>0</v>
      </c>
      <c r="K63" s="4" t="n">
        <v>0</v>
      </c>
      <c r="L63" s="2" t="n">
        <v>92</v>
      </c>
      <c r="M63" s="13">
        <f>L63/(N63+L63+J63+H63+F63)</f>
        <v/>
      </c>
      <c r="N63" s="2" t="n">
        <v>2344</v>
      </c>
      <c r="O63" s="13">
        <f>N63/(N63+L63+J63+H63+F63)</f>
        <v/>
      </c>
    </row>
    <row r="64">
      <c r="A64" s="2" t="inlineStr">
        <is>
          <t>CARA-CARA</t>
        </is>
      </c>
      <c r="B64" s="6" t="n">
        <v>45404</v>
      </c>
      <c r="C64" s="11" t="inlineStr">
        <is>
          <t>9</t>
        </is>
      </c>
      <c r="D64" s="9">
        <f>E64*16</f>
        <v/>
      </c>
      <c r="E64" s="9" t="n">
        <v>150</v>
      </c>
      <c r="F64" s="9" t="n">
        <v>1701</v>
      </c>
      <c r="G64" s="4" t="n">
        <v>0.49304</v>
      </c>
      <c r="H64" s="9" t="n">
        <v>162</v>
      </c>
      <c r="I64" s="4" t="n">
        <v>0.04696</v>
      </c>
      <c r="J64" s="9" t="n">
        <v>0</v>
      </c>
      <c r="K64" s="4" t="n">
        <v>0</v>
      </c>
      <c r="L64" s="2" t="n">
        <v>69</v>
      </c>
      <c r="M64" s="13">
        <f>L64/(N64+L64+J64+H64+F64)</f>
        <v/>
      </c>
      <c r="N64" s="2" t="n">
        <v>1518</v>
      </c>
      <c r="O64" s="13">
        <f>N64/(N64+L64+J64+H64+F64)</f>
        <v/>
      </c>
    </row>
    <row r="65">
      <c r="A65" s="2" t="inlineStr">
        <is>
          <t>CARA-CARA</t>
        </is>
      </c>
      <c r="B65" s="6" t="n">
        <v>45293</v>
      </c>
      <c r="C65" s="11" t="inlineStr">
        <is>
          <t>9</t>
        </is>
      </c>
      <c r="D65" s="9">
        <f>E65*16</f>
        <v/>
      </c>
      <c r="E65" s="9" t="n">
        <v>31</v>
      </c>
      <c r="F65" s="9" t="n">
        <v>528</v>
      </c>
      <c r="G65" s="4" t="n">
        <v>0.74053</v>
      </c>
      <c r="H65" s="9" t="n">
        <v>48</v>
      </c>
      <c r="I65" s="4" t="n">
        <v>0.06732</v>
      </c>
      <c r="J65" s="9" t="n">
        <v>0</v>
      </c>
      <c r="K65" s="4" t="n">
        <v>0</v>
      </c>
      <c r="L65" s="2" t="n">
        <v>14</v>
      </c>
      <c r="M65" s="13">
        <f>L65/(N65+L65+J65+H65+F65)</f>
        <v/>
      </c>
      <c r="N65" s="2" t="n">
        <v>123</v>
      </c>
      <c r="O65" s="13">
        <f>N65/(N65+L65+J65+H65+F65)</f>
        <v/>
      </c>
    </row>
    <row r="66">
      <c r="A66" s="2" t="inlineStr">
        <is>
          <t>CARA-CARA</t>
        </is>
      </c>
      <c r="B66" s="6" t="n">
        <v>45289</v>
      </c>
      <c r="C66" s="11" t="inlineStr">
        <is>
          <t>9</t>
        </is>
      </c>
      <c r="D66" s="9">
        <f>E66*16</f>
        <v/>
      </c>
      <c r="E66" s="9" t="n">
        <v>232</v>
      </c>
      <c r="F66" s="9" t="n">
        <v>2770</v>
      </c>
      <c r="G66" s="4" t="n">
        <v>0.51892</v>
      </c>
      <c r="H66" s="9" t="n">
        <v>383</v>
      </c>
      <c r="I66" s="4" t="n">
        <v>0.07174999999999999</v>
      </c>
      <c r="J66" s="9" t="n">
        <v>0</v>
      </c>
      <c r="K66" s="4" t="n">
        <v>0</v>
      </c>
      <c r="L66" s="2" t="n">
        <v>107</v>
      </c>
      <c r="M66" s="13">
        <f>L66/(N66+L66+J66+H66+F66)</f>
        <v/>
      </c>
      <c r="N66" s="2" t="n">
        <v>2078</v>
      </c>
      <c r="O66" s="13">
        <f>N66/(N66+L66+J66+H66+F66)</f>
        <v/>
      </c>
    </row>
    <row r="67">
      <c r="A67" s="2" t="inlineStr">
        <is>
          <t>NAVEL</t>
        </is>
      </c>
      <c r="B67" s="6" t="n">
        <v>45454</v>
      </c>
      <c r="C67" s="11" t="inlineStr">
        <is>
          <t>8</t>
        </is>
      </c>
      <c r="D67" s="9">
        <f>E67*16</f>
        <v/>
      </c>
      <c r="E67" s="9" t="n">
        <v>155</v>
      </c>
      <c r="F67" s="9" t="n">
        <v>941</v>
      </c>
      <c r="G67" s="4" t="n">
        <v>0.26396</v>
      </c>
      <c r="H67" s="9" t="n">
        <v>711</v>
      </c>
      <c r="I67" s="4" t="n">
        <v>0.19944</v>
      </c>
      <c r="J67" s="9" t="n">
        <v>0</v>
      </c>
      <c r="K67" s="4" t="n">
        <v>0</v>
      </c>
      <c r="L67" s="2" t="n">
        <v>71</v>
      </c>
      <c r="M67" s="13">
        <f>L67/(N67+L67+J67+H67+F67)</f>
        <v/>
      </c>
      <c r="N67" s="2" t="n">
        <v>1842</v>
      </c>
      <c r="O67" s="13">
        <f>N67/(N67+L67+J67+H67+F67)</f>
        <v/>
      </c>
    </row>
    <row r="68">
      <c r="A68" s="2" t="inlineStr">
        <is>
          <t>NAVEL</t>
        </is>
      </c>
      <c r="B68" s="6" t="n">
        <v>45457</v>
      </c>
      <c r="C68" s="11" t="inlineStr">
        <is>
          <t>8</t>
        </is>
      </c>
      <c r="D68" s="9">
        <f>E68*16</f>
        <v/>
      </c>
      <c r="E68" s="9" t="n">
        <v>200</v>
      </c>
      <c r="F68" s="9" t="n">
        <v>893</v>
      </c>
      <c r="G68" s="4" t="n">
        <v>0.19413</v>
      </c>
      <c r="H68" s="9" t="n">
        <v>735</v>
      </c>
      <c r="I68" s="4" t="n">
        <v>0.15978</v>
      </c>
      <c r="J68" s="9" t="n">
        <v>0</v>
      </c>
      <c r="K68" s="4" t="n">
        <v>0</v>
      </c>
      <c r="L68" s="2" t="n">
        <v>92</v>
      </c>
      <c r="M68" s="13">
        <f>L68/(N68+L68+J68+H68+F68)</f>
        <v/>
      </c>
      <c r="N68" s="2" t="n">
        <v>2880</v>
      </c>
      <c r="O68" s="13">
        <f>N68/(N68+L68+J68+H68+F68)</f>
        <v/>
      </c>
    </row>
    <row r="69">
      <c r="A69" s="2" t="inlineStr">
        <is>
          <t>NAVEL</t>
        </is>
      </c>
      <c r="B69" s="6" t="n">
        <v>45458</v>
      </c>
      <c r="C69" s="11" t="inlineStr">
        <is>
          <t>8</t>
        </is>
      </c>
      <c r="D69" s="9">
        <f>E69*16</f>
        <v/>
      </c>
      <c r="E69" s="9" t="n">
        <v>216</v>
      </c>
      <c r="F69" s="9" t="n">
        <v>926</v>
      </c>
      <c r="G69" s="4" t="n">
        <v>0.18639</v>
      </c>
      <c r="H69" s="9" t="n">
        <v>762</v>
      </c>
      <c r="I69" s="4" t="n">
        <v>0.15338</v>
      </c>
      <c r="J69" s="9" t="n">
        <v>0</v>
      </c>
      <c r="K69" s="4" t="n">
        <v>0</v>
      </c>
      <c r="L69" s="2" t="n">
        <v>99</v>
      </c>
      <c r="M69" s="13">
        <f>L69/(N69+L69+J69+H69+F69)</f>
        <v/>
      </c>
      <c r="N69" s="2" t="n">
        <v>3181</v>
      </c>
      <c r="O69" s="13">
        <f>N69/(N69+L69+J69+H69+F69)</f>
        <v/>
      </c>
    </row>
    <row r="70">
      <c r="A70" s="2" t="inlineStr">
        <is>
          <t>MURCOTTS</t>
        </is>
      </c>
      <c r="B70" s="6" t="n">
        <v>45464</v>
      </c>
      <c r="C70" s="11" t="inlineStr">
        <is>
          <t>2A</t>
        </is>
      </c>
      <c r="D70" s="9">
        <f>E70*16</f>
        <v/>
      </c>
      <c r="E70" s="9" t="n">
        <v>87.75</v>
      </c>
      <c r="F70" s="9" t="n">
        <v>5002</v>
      </c>
      <c r="G70" s="4" t="n">
        <v>0.32854</v>
      </c>
      <c r="H70" s="9" t="n">
        <v>0</v>
      </c>
      <c r="I70" s="4" t="n">
        <v>0</v>
      </c>
      <c r="J70" s="9" t="n">
        <v>0</v>
      </c>
      <c r="K70" s="4" t="n">
        <v>0</v>
      </c>
      <c r="L70" s="2" t="n">
        <v>304</v>
      </c>
      <c r="M70" s="13">
        <f>L70/(N70+L70+J70+H70+F70)</f>
        <v/>
      </c>
      <c r="N70" s="2" t="n">
        <v>9919</v>
      </c>
      <c r="O70" s="13">
        <f>N70/(N70+L70+J70+H70+F70)</f>
        <v/>
      </c>
    </row>
    <row r="71">
      <c r="A71" s="2" t="inlineStr">
        <is>
          <t>NAVEL</t>
        </is>
      </c>
      <c r="B71" s="6" t="n">
        <v>45412</v>
      </c>
      <c r="C71" s="11" t="inlineStr">
        <is>
          <t>3</t>
        </is>
      </c>
      <c r="D71" s="9">
        <f>E71*16</f>
        <v/>
      </c>
      <c r="E71" s="9" t="n">
        <v>340</v>
      </c>
      <c r="F71" s="9" t="n">
        <v>3422</v>
      </c>
      <c r="G71" s="4" t="n">
        <v>0.61107</v>
      </c>
      <c r="H71" s="9" t="n">
        <v>2178</v>
      </c>
      <c r="I71" s="4" t="n">
        <v>0.38893</v>
      </c>
      <c r="J71" s="9" t="n">
        <v>0</v>
      </c>
      <c r="K71" s="4" t="n">
        <v>0</v>
      </c>
      <c r="L71" s="2" t="n">
        <v>1144</v>
      </c>
      <c r="M71" s="13">
        <f>L71/(N71+L71+J71+H71+F71)</f>
        <v/>
      </c>
      <c r="N71" s="2" t="n">
        <v>1144</v>
      </c>
      <c r="O71" s="13">
        <f>N71/(N71+L71+J71+H71+F71)</f>
        <v/>
      </c>
    </row>
    <row r="72">
      <c r="A72" s="2" t="inlineStr">
        <is>
          <t>NAVEL</t>
        </is>
      </c>
      <c r="B72" s="6" t="n">
        <v>45394</v>
      </c>
      <c r="C72" s="11" t="inlineStr">
        <is>
          <t>3</t>
        </is>
      </c>
      <c r="D72" s="9">
        <f>E72*16</f>
        <v/>
      </c>
      <c r="E72" s="9" t="n">
        <v>131</v>
      </c>
      <c r="F72" s="9" t="n">
        <v>2321</v>
      </c>
      <c r="G72" s="4" t="n">
        <v>0.87983</v>
      </c>
      <c r="H72" s="9" t="n">
        <v>317</v>
      </c>
      <c r="I72" s="4" t="n">
        <v>0.12017</v>
      </c>
      <c r="J72" s="9" t="n">
        <v>0</v>
      </c>
      <c r="K72" s="4" t="n">
        <v>0</v>
      </c>
      <c r="L72" s="2" t="n">
        <v>200</v>
      </c>
      <c r="M72" s="13">
        <f>L72/(N72+L72+J72+H72+F72)</f>
        <v/>
      </c>
      <c r="N72" s="2" t="n">
        <v>201</v>
      </c>
      <c r="O72" s="13">
        <f>N72/(N72+L72+J72+H72+F72)</f>
        <v/>
      </c>
    </row>
    <row r="73">
      <c r="A73" s="2" t="inlineStr">
        <is>
          <t>CLEMENTINES</t>
        </is>
      </c>
      <c r="B73" s="6" t="n">
        <v>44896</v>
      </c>
      <c r="C73" s="11" t="inlineStr">
        <is>
          <t>1</t>
        </is>
      </c>
      <c r="D73" s="9">
        <f>E73*16</f>
        <v/>
      </c>
      <c r="E73" s="9" t="n">
        <v>97</v>
      </c>
      <c r="F73" s="9" t="n">
        <v>13966</v>
      </c>
      <c r="G73" s="4" t="n">
        <v>0.82988</v>
      </c>
      <c r="H73" s="9" t="n">
        <v>0</v>
      </c>
      <c r="I73" s="4" t="n">
        <v>0</v>
      </c>
      <c r="J73" s="9" t="n">
        <v>0</v>
      </c>
      <c r="K73" s="4" t="n">
        <v>0</v>
      </c>
      <c r="L73" s="2" t="n">
        <v>337</v>
      </c>
      <c r="M73" s="13">
        <f>L73/(N73+L73+J73+H73+F73)</f>
        <v/>
      </c>
      <c r="N73" s="2" t="n">
        <v>2526</v>
      </c>
      <c r="O73" s="13">
        <f>N73/(N73+L73+J73+H73+F73)</f>
        <v/>
      </c>
    </row>
    <row r="74">
      <c r="A74" s="2" t="inlineStr">
        <is>
          <t>CLEMENTINES</t>
        </is>
      </c>
      <c r="B74" s="6" t="n">
        <v>44894</v>
      </c>
      <c r="C74" s="11" t="inlineStr">
        <is>
          <t>1</t>
        </is>
      </c>
      <c r="D74" s="9">
        <f>E74*16</f>
        <v/>
      </c>
      <c r="E74" s="9" t="n">
        <v>41</v>
      </c>
      <c r="F74" s="9" t="n">
        <v>5680</v>
      </c>
      <c r="G74" s="4" t="n">
        <v>0.79843</v>
      </c>
      <c r="H74" s="9" t="n">
        <v>0</v>
      </c>
      <c r="I74" s="4" t="n">
        <v>0</v>
      </c>
      <c r="J74" s="9" t="n">
        <v>0</v>
      </c>
      <c r="K74" s="4" t="n">
        <v>0</v>
      </c>
      <c r="L74" s="2" t="n">
        <v>142</v>
      </c>
      <c r="M74" s="13">
        <f>L74/(N74+L74+J74+H74+F74)</f>
        <v/>
      </c>
      <c r="N74" s="2" t="n">
        <v>1292</v>
      </c>
      <c r="O74" s="13">
        <f>N74/(N74+L74+J74+H74+F74)</f>
        <v/>
      </c>
    </row>
    <row r="75">
      <c r="A75" s="2" t="inlineStr">
        <is>
          <t>CLEMENTINES</t>
        </is>
      </c>
      <c r="B75" s="6" t="n">
        <v>44893</v>
      </c>
      <c r="C75" s="11" t="inlineStr">
        <is>
          <t>1</t>
        </is>
      </c>
      <c r="D75" s="9">
        <f>E75*16</f>
        <v/>
      </c>
      <c r="E75" s="9" t="n">
        <v>33</v>
      </c>
      <c r="F75" s="9" t="n">
        <v>4555</v>
      </c>
      <c r="G75" s="4" t="n">
        <v>0.79549</v>
      </c>
      <c r="H75" s="9" t="n">
        <v>0</v>
      </c>
      <c r="I75" s="4" t="n">
        <v>0</v>
      </c>
      <c r="J75" s="9" t="n">
        <v>0</v>
      </c>
      <c r="K75" s="4" t="n">
        <v>0</v>
      </c>
      <c r="L75" s="2" t="n">
        <v>115</v>
      </c>
      <c r="M75" s="13">
        <f>L75/(N75+L75+J75+H75+F75)</f>
        <v/>
      </c>
      <c r="N75" s="2" t="n">
        <v>1056</v>
      </c>
      <c r="O75" s="13">
        <f>N75/(N75+L75+J75+H75+F75)</f>
        <v/>
      </c>
    </row>
    <row r="76">
      <c r="A76" s="2" t="inlineStr">
        <is>
          <t>NAVEL</t>
        </is>
      </c>
      <c r="B76" s="6" t="n">
        <v>45080</v>
      </c>
      <c r="C76" s="11" t="inlineStr">
        <is>
          <t>10</t>
        </is>
      </c>
      <c r="D76" s="9">
        <f>E76*16</f>
        <v/>
      </c>
      <c r="E76" s="9" t="n">
        <v>539</v>
      </c>
      <c r="F76" s="9" t="n">
        <v>4916</v>
      </c>
      <c r="G76" s="4" t="n">
        <v>0.39655</v>
      </c>
      <c r="H76" s="9" t="n">
        <v>3315</v>
      </c>
      <c r="I76" s="4" t="n">
        <v>0.2674</v>
      </c>
      <c r="J76" s="9" t="n">
        <v>0</v>
      </c>
      <c r="K76" s="4" t="n">
        <v>0</v>
      </c>
      <c r="L76" s="2" t="n">
        <v>248</v>
      </c>
      <c r="M76" s="13">
        <f>L76/(N76+L76+J76+H76+F76)</f>
        <v/>
      </c>
      <c r="N76" s="2" t="n">
        <v>3918</v>
      </c>
      <c r="O76" s="13">
        <f>N76/(N76+L76+J76+H76+F76)</f>
        <v/>
      </c>
    </row>
    <row r="77">
      <c r="A77" s="2" t="inlineStr">
        <is>
          <t>MURCOTTS</t>
        </is>
      </c>
      <c r="B77" s="6" t="n">
        <v>45044</v>
      </c>
      <c r="C77" s="11" t="inlineStr">
        <is>
          <t>11</t>
        </is>
      </c>
      <c r="D77" s="9">
        <f>E77*16</f>
        <v/>
      </c>
      <c r="E77" s="9" t="n">
        <v>158</v>
      </c>
      <c r="F77" s="9" t="n">
        <v>15961</v>
      </c>
      <c r="G77" s="4" t="n">
        <v>0.58224</v>
      </c>
      <c r="H77" s="9" t="n">
        <v>0</v>
      </c>
      <c r="I77" s="4" t="n">
        <v>0</v>
      </c>
      <c r="J77" s="9" t="n">
        <v>0</v>
      </c>
      <c r="K77" s="4" t="n">
        <v>0</v>
      </c>
      <c r="L77" s="2" t="n">
        <v>548</v>
      </c>
      <c r="M77" s="13">
        <f>L77/(N77+L77+J77+H77+F77)</f>
        <v/>
      </c>
      <c r="N77" s="2" t="n">
        <v>10904</v>
      </c>
      <c r="O77" s="13">
        <f>N77/(N77+L77+J77+H77+F77)</f>
        <v/>
      </c>
    </row>
    <row r="78">
      <c r="A78" s="2" t="inlineStr">
        <is>
          <t>MURCOTTS</t>
        </is>
      </c>
      <c r="B78" s="6" t="n">
        <v>44961</v>
      </c>
      <c r="C78" s="11" t="inlineStr">
        <is>
          <t>11</t>
        </is>
      </c>
      <c r="D78" s="9">
        <f>E78*16</f>
        <v/>
      </c>
      <c r="E78" s="9" t="n">
        <v>144</v>
      </c>
      <c r="F78" s="9" t="n">
        <v>21259</v>
      </c>
      <c r="G78" s="4" t="n">
        <v>0.8509</v>
      </c>
      <c r="H78" s="9" t="n">
        <v>0</v>
      </c>
      <c r="I78" s="4" t="n">
        <v>0</v>
      </c>
      <c r="J78" s="9" t="n">
        <v>0</v>
      </c>
      <c r="K78" s="4" t="n">
        <v>0</v>
      </c>
      <c r="L78" s="2" t="n">
        <v>500</v>
      </c>
      <c r="M78" s="13">
        <f>L78/(N78+L78+J78+H78+F78)</f>
        <v/>
      </c>
      <c r="N78" s="2" t="n">
        <v>3225</v>
      </c>
      <c r="O78" s="13">
        <f>N78/(N78+L78+J78+H78+F78)</f>
        <v/>
      </c>
    </row>
    <row r="79">
      <c r="A79" s="2" t="inlineStr">
        <is>
          <t>LEMONS</t>
        </is>
      </c>
      <c r="B79" s="6" t="n">
        <v>45042</v>
      </c>
      <c r="C79" s="11" t="inlineStr">
        <is>
          <t>12</t>
        </is>
      </c>
      <c r="D79" s="9">
        <f>E79*16</f>
        <v/>
      </c>
      <c r="E79" s="9" t="n">
        <v>50</v>
      </c>
      <c r="F79" s="9" t="n">
        <v>350</v>
      </c>
      <c r="G79" s="4" t="n">
        <v>0.31818</v>
      </c>
      <c r="H79" s="9" t="n">
        <v>320</v>
      </c>
      <c r="I79" s="4" t="n">
        <v>0.29091</v>
      </c>
      <c r="J79" s="9" t="n">
        <v>0</v>
      </c>
      <c r="K79" s="4" t="n">
        <v>0</v>
      </c>
      <c r="L79" s="2" t="n">
        <v>22</v>
      </c>
      <c r="M79" s="13">
        <f>L79/(N79+L79+J79+H79+F79)</f>
        <v/>
      </c>
      <c r="N79" s="2" t="n">
        <v>408</v>
      </c>
      <c r="O79" s="13">
        <f>N79/(N79+L79+J79+H79+F79)</f>
        <v/>
      </c>
    </row>
    <row r="80">
      <c r="A80" s="2" t="inlineStr">
        <is>
          <t>LEMONS</t>
        </is>
      </c>
      <c r="B80" s="6" t="n">
        <v>45041</v>
      </c>
      <c r="C80" s="11" t="inlineStr">
        <is>
          <t>12</t>
        </is>
      </c>
      <c r="D80" s="9">
        <f>E80*16</f>
        <v/>
      </c>
      <c r="E80" s="9" t="n">
        <v>300</v>
      </c>
      <c r="F80" s="9" t="n">
        <v>2402</v>
      </c>
      <c r="G80" s="4" t="n">
        <v>0.36394</v>
      </c>
      <c r="H80" s="9" t="n">
        <v>1921</v>
      </c>
      <c r="I80" s="4" t="n">
        <v>0.29106</v>
      </c>
      <c r="J80" s="9" t="n">
        <v>0</v>
      </c>
      <c r="K80" s="4" t="n">
        <v>0</v>
      </c>
      <c r="L80" s="2" t="n">
        <v>132</v>
      </c>
      <c r="M80" s="13">
        <f>L80/(N80+L80+J80+H80+F80)</f>
        <v/>
      </c>
      <c r="N80" s="2" t="n">
        <v>2145</v>
      </c>
      <c r="O80" s="13">
        <f>N80/(N80+L80+J80+H80+F80)</f>
        <v/>
      </c>
    </row>
    <row r="81">
      <c r="A81" s="2" t="inlineStr">
        <is>
          <t>LEMONS</t>
        </is>
      </c>
      <c r="B81" s="6" t="n">
        <v>45036</v>
      </c>
      <c r="C81" s="11" t="inlineStr">
        <is>
          <t>12</t>
        </is>
      </c>
      <c r="D81" s="9">
        <f>E81*16</f>
        <v/>
      </c>
      <c r="E81" s="9" t="n">
        <v>332</v>
      </c>
      <c r="F81" s="9" t="n">
        <v>2530</v>
      </c>
      <c r="G81" s="4" t="n">
        <v>0.34639</v>
      </c>
      <c r="H81" s="9" t="n">
        <v>2130</v>
      </c>
      <c r="I81" s="4" t="n">
        <v>0.29162</v>
      </c>
      <c r="J81" s="9" t="n">
        <v>0</v>
      </c>
      <c r="K81" s="4" t="n">
        <v>0</v>
      </c>
      <c r="L81" s="2" t="n">
        <v>146</v>
      </c>
      <c r="M81" s="13">
        <f>L81/(N81+L81+J81+H81+F81)</f>
        <v/>
      </c>
      <c r="N81" s="2" t="n">
        <v>2498</v>
      </c>
      <c r="O81" s="13">
        <f>N81/(N81+L81+J81+H81+F81)</f>
        <v/>
      </c>
    </row>
    <row r="82">
      <c r="A82" s="2" t="inlineStr">
        <is>
          <t>LEMONS</t>
        </is>
      </c>
      <c r="B82" s="6" t="n">
        <v>44887</v>
      </c>
      <c r="C82" s="11" t="inlineStr">
        <is>
          <t>12</t>
        </is>
      </c>
      <c r="D82" s="9">
        <f>E82*16</f>
        <v/>
      </c>
      <c r="E82" s="9" t="n">
        <v>131</v>
      </c>
      <c r="F82" s="9" t="n">
        <v>1757</v>
      </c>
      <c r="G82" s="4" t="n">
        <v>0.60965</v>
      </c>
      <c r="H82" s="9" t="n">
        <v>605</v>
      </c>
      <c r="I82" s="4" t="n">
        <v>0.20992</v>
      </c>
      <c r="J82" s="9" t="n">
        <v>0</v>
      </c>
      <c r="K82" s="4" t="n">
        <v>0</v>
      </c>
      <c r="L82" s="2" t="n">
        <v>58</v>
      </c>
      <c r="M82" s="13">
        <f>L82/(N82+L82+J82+H82+F82)</f>
        <v/>
      </c>
      <c r="N82" s="2" t="n">
        <v>462</v>
      </c>
      <c r="O82" s="13">
        <f>N82/(N82+L82+J82+H82+F82)</f>
        <v/>
      </c>
    </row>
    <row r="83">
      <c r="A83" s="2" t="inlineStr">
        <is>
          <t>LEMONS</t>
        </is>
      </c>
      <c r="B83" s="6" t="n">
        <v>44888</v>
      </c>
      <c r="C83" s="11" t="inlineStr">
        <is>
          <t>12</t>
        </is>
      </c>
      <c r="D83" s="9">
        <f>E83*16</f>
        <v/>
      </c>
      <c r="E83" s="9" t="n">
        <v>30</v>
      </c>
      <c r="F83" s="9" t="n">
        <v>404</v>
      </c>
      <c r="G83" s="4" t="n">
        <v>0.61212</v>
      </c>
      <c r="H83" s="9" t="n">
        <v>203</v>
      </c>
      <c r="I83" s="4" t="n">
        <v>0.30758</v>
      </c>
      <c r="J83" s="9" t="n">
        <v>0</v>
      </c>
      <c r="K83" s="4" t="n">
        <v>0</v>
      </c>
      <c r="L83" s="2" t="n">
        <v>13</v>
      </c>
      <c r="M83" s="13">
        <f>L83/(N83+L83+J83+H83+F83)</f>
        <v/>
      </c>
      <c r="N83" s="2" t="n">
        <v>40</v>
      </c>
      <c r="O83" s="13">
        <f>N83/(N83+L83+J83+H83+F83)</f>
        <v/>
      </c>
    </row>
    <row r="84">
      <c r="A84" s="2" t="inlineStr">
        <is>
          <t>LEMONS</t>
        </is>
      </c>
      <c r="B84" s="6" t="n">
        <v>44891</v>
      </c>
      <c r="C84" s="11" t="inlineStr">
        <is>
          <t>12</t>
        </is>
      </c>
      <c r="D84" s="9">
        <f>E84*16</f>
        <v/>
      </c>
      <c r="E84" s="9" t="n">
        <v>11</v>
      </c>
      <c r="F84" s="9" t="n">
        <v>188</v>
      </c>
      <c r="G84" s="4" t="n">
        <v>0.76113</v>
      </c>
      <c r="H84" s="9" t="n">
        <v>54</v>
      </c>
      <c r="I84" s="4" t="n">
        <v>0.21862</v>
      </c>
      <c r="J84" s="9" t="n">
        <v>0</v>
      </c>
      <c r="K84" s="4" t="n">
        <v>0</v>
      </c>
      <c r="L84" s="2" t="n">
        <v>5</v>
      </c>
      <c r="M84" s="13">
        <f>L84/(N84+L84+J84+H84+F84)</f>
        <v/>
      </c>
      <c r="N84" s="2" t="n">
        <v>0</v>
      </c>
      <c r="O84" s="13">
        <f>N84/(N84+L84+J84+H84+F84)</f>
        <v/>
      </c>
    </row>
    <row r="85">
      <c r="A85" s="2" t="inlineStr">
        <is>
          <t>NAVEL</t>
        </is>
      </c>
      <c r="B85" s="6" t="n">
        <v>44953</v>
      </c>
      <c r="C85" s="11" t="inlineStr">
        <is>
          <t>13W</t>
        </is>
      </c>
      <c r="D85" s="9">
        <f>E85*16</f>
        <v/>
      </c>
      <c r="E85" s="9" t="n">
        <v>43</v>
      </c>
      <c r="F85" s="9" t="n">
        <v>624</v>
      </c>
      <c r="G85" s="4" t="n">
        <v>0.6309399999999999</v>
      </c>
      <c r="H85" s="9" t="n">
        <v>157</v>
      </c>
      <c r="I85" s="4" t="n">
        <v>0.15875</v>
      </c>
      <c r="J85" s="9" t="n">
        <v>0</v>
      </c>
      <c r="K85" s="4" t="n">
        <v>0</v>
      </c>
      <c r="L85" s="2" t="n">
        <v>20</v>
      </c>
      <c r="M85" s="13">
        <f>L85/(N85+L85+J85+H85+F85)</f>
        <v/>
      </c>
      <c r="N85" s="2" t="n">
        <v>188</v>
      </c>
      <c r="O85" s="13">
        <f>N85/(N85+L85+J85+H85+F85)</f>
        <v/>
      </c>
    </row>
    <row r="86">
      <c r="A86" s="2" t="inlineStr">
        <is>
          <t>LEMONS</t>
        </is>
      </c>
      <c r="B86" s="6" t="n">
        <v>45036</v>
      </c>
      <c r="C86" s="11" t="inlineStr">
        <is>
          <t>16L</t>
        </is>
      </c>
      <c r="D86" s="9">
        <f>E86*16</f>
        <v/>
      </c>
      <c r="E86" s="9" t="n">
        <v>18</v>
      </c>
      <c r="F86" s="9" t="n">
        <v>74</v>
      </c>
      <c r="G86" s="4" t="n">
        <v>0.18687</v>
      </c>
      <c r="H86" s="9" t="n">
        <v>86</v>
      </c>
      <c r="I86" s="4" t="n">
        <v>0.21717</v>
      </c>
      <c r="J86" s="9" t="n">
        <v>0</v>
      </c>
      <c r="K86" s="4" t="n">
        <v>0</v>
      </c>
      <c r="L86" s="2" t="n">
        <v>8</v>
      </c>
      <c r="M86" s="13">
        <f>L86/(N86+L86+J86+H86+F86)</f>
        <v/>
      </c>
      <c r="N86" s="2" t="n">
        <v>228</v>
      </c>
      <c r="O86" s="13">
        <f>N86/(N86+L86+J86+H86+F86)</f>
        <v/>
      </c>
    </row>
    <row r="87">
      <c r="A87" s="2" t="inlineStr">
        <is>
          <t>MURCOTTS</t>
        </is>
      </c>
      <c r="B87" s="6" t="n">
        <v>45031</v>
      </c>
      <c r="C87" s="11" t="inlineStr">
        <is>
          <t>2A</t>
        </is>
      </c>
      <c r="D87" s="9">
        <f>E87*16</f>
        <v/>
      </c>
      <c r="E87" s="9" t="n">
        <v>86.75</v>
      </c>
      <c r="F87" s="9" t="n">
        <v>10068</v>
      </c>
      <c r="G87" s="4" t="n">
        <v>0.66893</v>
      </c>
      <c r="H87" s="9" t="n">
        <v>0</v>
      </c>
      <c r="I87" s="4" t="n">
        <v>0</v>
      </c>
      <c r="J87" s="9" t="n">
        <v>0</v>
      </c>
      <c r="K87" s="4" t="n">
        <v>0</v>
      </c>
      <c r="L87" s="2" t="n">
        <v>301</v>
      </c>
      <c r="M87" s="13">
        <f>L87/(N87+L87+J87+H87+F87)</f>
        <v/>
      </c>
      <c r="N87" s="2" t="n">
        <v>4682</v>
      </c>
      <c r="O87" s="13">
        <f>N87/(N87+L87+J87+H87+F87)</f>
        <v/>
      </c>
    </row>
    <row r="88">
      <c r="A88" s="2" t="inlineStr">
        <is>
          <t>MURCOTTS</t>
        </is>
      </c>
      <c r="B88" s="6" t="n">
        <v>44961</v>
      </c>
      <c r="C88" s="11" t="inlineStr">
        <is>
          <t>2A</t>
        </is>
      </c>
      <c r="D88" s="9">
        <f>E88*16</f>
        <v/>
      </c>
      <c r="E88" s="9" t="n">
        <v>96.5</v>
      </c>
      <c r="F88" s="9" t="n">
        <v>14711</v>
      </c>
      <c r="G88" s="4" t="n">
        <v>0.87864</v>
      </c>
      <c r="H88" s="9" t="n">
        <v>0</v>
      </c>
      <c r="I88" s="4" t="n">
        <v>0</v>
      </c>
      <c r="J88" s="9" t="n">
        <v>0</v>
      </c>
      <c r="K88" s="4" t="n">
        <v>0</v>
      </c>
      <c r="L88" s="2" t="n">
        <v>335</v>
      </c>
      <c r="M88" s="13">
        <f>L88/(N88+L88+J88+H88+F88)</f>
        <v/>
      </c>
      <c r="N88" s="2" t="n">
        <v>1697</v>
      </c>
      <c r="O88" s="13">
        <f>N88/(N88+L88+J88+H88+F88)</f>
        <v/>
      </c>
    </row>
    <row r="89">
      <c r="A89" s="2" t="inlineStr">
        <is>
          <t>CLEMENTINES</t>
        </is>
      </c>
      <c r="B89" s="6" t="n">
        <v>44914</v>
      </c>
      <c r="C89" s="11" t="inlineStr">
        <is>
          <t>2B</t>
        </is>
      </c>
      <c r="D89" s="9">
        <f>E89*16</f>
        <v/>
      </c>
      <c r="E89" s="9" t="n">
        <v>102.5</v>
      </c>
      <c r="F89" s="9" t="n">
        <v>11967</v>
      </c>
      <c r="G89" s="4" t="n">
        <v>0.67291</v>
      </c>
      <c r="H89" s="9" t="n">
        <v>0</v>
      </c>
      <c r="I89" s="4" t="n">
        <v>0</v>
      </c>
      <c r="J89" s="9" t="n">
        <v>0</v>
      </c>
      <c r="K89" s="4" t="n">
        <v>0</v>
      </c>
      <c r="L89" s="2" t="n">
        <v>356</v>
      </c>
      <c r="M89" s="13">
        <f>L89/(N89+L89+J89+H89+F89)</f>
        <v/>
      </c>
      <c r="N89" s="2" t="n">
        <v>5461</v>
      </c>
      <c r="O89" s="13">
        <f>N89/(N89+L89+J89+H89+F89)</f>
        <v/>
      </c>
    </row>
    <row r="90">
      <c r="A90" s="2" t="inlineStr">
        <is>
          <t>CLEMENTINES</t>
        </is>
      </c>
      <c r="B90" s="6" t="n">
        <v>44891</v>
      </c>
      <c r="C90" s="11" t="inlineStr">
        <is>
          <t>2B</t>
        </is>
      </c>
      <c r="D90" s="9">
        <f>E90*16</f>
        <v/>
      </c>
      <c r="E90" s="9" t="n">
        <v>62</v>
      </c>
      <c r="F90" s="9" t="n">
        <v>9624</v>
      </c>
      <c r="G90" s="4" t="n">
        <v>0.89467</v>
      </c>
      <c r="H90" s="9" t="n">
        <v>0</v>
      </c>
      <c r="I90" s="4" t="n">
        <v>0</v>
      </c>
      <c r="J90" s="9" t="n">
        <v>0</v>
      </c>
      <c r="K90" s="4" t="n">
        <v>0</v>
      </c>
      <c r="L90" s="2" t="n">
        <v>215</v>
      </c>
      <c r="M90" s="13">
        <f>L90/(N90+L90+J90+H90+F90)</f>
        <v/>
      </c>
      <c r="N90" s="2" t="n">
        <v>918</v>
      </c>
      <c r="O90" s="13">
        <f>N90/(N90+L90+J90+H90+F90)</f>
        <v/>
      </c>
    </row>
    <row r="91">
      <c r="A91" s="2" t="inlineStr">
        <is>
          <t>CLEMENTINES</t>
        </is>
      </c>
      <c r="B91" s="6" t="n">
        <v>44893</v>
      </c>
      <c r="C91" s="11" t="inlineStr">
        <is>
          <t>2B</t>
        </is>
      </c>
      <c r="D91" s="9">
        <f>E91*16</f>
        <v/>
      </c>
      <c r="E91" s="9" t="n">
        <v>48</v>
      </c>
      <c r="F91" s="9" t="n">
        <v>7001</v>
      </c>
      <c r="G91" s="4" t="n">
        <v>0.84066</v>
      </c>
      <c r="H91" s="9" t="n">
        <v>0</v>
      </c>
      <c r="I91" s="4" t="n">
        <v>0</v>
      </c>
      <c r="J91" s="9" t="n">
        <v>0</v>
      </c>
      <c r="K91" s="4" t="n">
        <v>0</v>
      </c>
      <c r="L91" s="2" t="n">
        <v>167</v>
      </c>
      <c r="M91" s="13">
        <f>L91/(N91+L91+J91+H91+F91)</f>
        <v/>
      </c>
      <c r="N91" s="2" t="n">
        <v>1160</v>
      </c>
      <c r="O91" s="13">
        <f>N91/(N91+L91+J91+H91+F91)</f>
        <v/>
      </c>
    </row>
    <row r="92">
      <c r="A92" s="2" t="inlineStr">
        <is>
          <t>NAVEL</t>
        </is>
      </c>
      <c r="B92" s="6" t="n">
        <v>45083</v>
      </c>
      <c r="C92" s="11" t="inlineStr">
        <is>
          <t>8</t>
        </is>
      </c>
      <c r="D92" s="9">
        <f>E92*16</f>
        <v/>
      </c>
      <c r="E92" s="9" t="n">
        <v>176.5</v>
      </c>
      <c r="F92" s="9" t="n">
        <v>1693</v>
      </c>
      <c r="G92" s="4" t="n">
        <v>0.4171</v>
      </c>
      <c r="H92" s="9" t="n">
        <v>1136</v>
      </c>
      <c r="I92" s="4" t="n">
        <v>0.27987</v>
      </c>
      <c r="J92" s="9" t="n">
        <v>0</v>
      </c>
      <c r="K92" s="4" t="n">
        <v>0</v>
      </c>
      <c r="L92" s="2" t="n">
        <v>81</v>
      </c>
      <c r="M92" s="13">
        <f>L92/(N92+L92+J92+H92+F92)</f>
        <v/>
      </c>
      <c r="N92" s="2" t="n">
        <v>1149</v>
      </c>
      <c r="O92" s="13">
        <f>N92/(N92+L92+J92+H92+F92)</f>
        <v/>
      </c>
    </row>
    <row r="93">
      <c r="A93" s="2" t="inlineStr">
        <is>
          <t>NAVEL</t>
        </is>
      </c>
      <c r="B93" s="6" t="n">
        <v>45082</v>
      </c>
      <c r="C93" s="11" t="inlineStr">
        <is>
          <t>8</t>
        </is>
      </c>
      <c r="D93" s="9">
        <f>E93*16</f>
        <v/>
      </c>
      <c r="E93" s="9" t="n">
        <v>250</v>
      </c>
      <c r="F93" s="9" t="n">
        <v>1488</v>
      </c>
      <c r="G93" s="4" t="n">
        <v>0.25878</v>
      </c>
      <c r="H93" s="9" t="n">
        <v>1842</v>
      </c>
      <c r="I93" s="4" t="n">
        <v>0.32035</v>
      </c>
      <c r="J93" s="9" t="n">
        <v>0</v>
      </c>
      <c r="K93" s="4" t="n">
        <v>0</v>
      </c>
      <c r="L93" s="2" t="n">
        <v>115</v>
      </c>
      <c r="M93" s="13">
        <f>L93/(N93+L93+J93+H93+F93)</f>
        <v/>
      </c>
      <c r="N93" s="2" t="n">
        <v>2305</v>
      </c>
      <c r="O93" s="13">
        <f>N93/(N93+L93+J93+H93+F93)</f>
        <v/>
      </c>
    </row>
    <row r="94">
      <c r="A94" s="2" t="inlineStr">
        <is>
          <t>NAVEL</t>
        </is>
      </c>
      <c r="B94" s="6" t="n">
        <v>45082</v>
      </c>
      <c r="C94" s="11" t="inlineStr">
        <is>
          <t>8</t>
        </is>
      </c>
      <c r="D94" s="9">
        <f>E94*16</f>
        <v/>
      </c>
      <c r="E94" s="9" t="n">
        <v>150</v>
      </c>
      <c r="F94" s="9" t="n">
        <v>1371</v>
      </c>
      <c r="G94" s="4" t="n">
        <v>0.39739</v>
      </c>
      <c r="H94" s="9" t="n">
        <v>1036</v>
      </c>
      <c r="I94" s="4" t="n">
        <v>0.30029</v>
      </c>
      <c r="J94" s="9" t="n">
        <v>0</v>
      </c>
      <c r="K94" s="4" t="n">
        <v>0</v>
      </c>
      <c r="L94" s="2" t="n">
        <v>69</v>
      </c>
      <c r="M94" s="13">
        <f>L94/(N94+L94+J94+H94+F94)</f>
        <v/>
      </c>
      <c r="N94" s="2" t="n">
        <v>974</v>
      </c>
      <c r="O94" s="13">
        <f>N94/(N94+L94+J94+H94+F94)</f>
        <v/>
      </c>
    </row>
    <row r="95">
      <c r="A95" s="2" t="inlineStr">
        <is>
          <t>CARA-CARA</t>
        </is>
      </c>
      <c r="B95" s="6" t="n">
        <v>45051</v>
      </c>
      <c r="C95" s="11" t="inlineStr">
        <is>
          <t>9</t>
        </is>
      </c>
      <c r="D95" s="9">
        <f>E95*16</f>
        <v/>
      </c>
      <c r="E95" s="9" t="n">
        <v>316.5</v>
      </c>
      <c r="F95" s="9" t="n">
        <v>4138</v>
      </c>
      <c r="G95" s="4" t="n">
        <v>0.56841</v>
      </c>
      <c r="H95" s="9" t="n">
        <v>380</v>
      </c>
      <c r="I95" s="4" t="n">
        <v>0.0522</v>
      </c>
      <c r="J95" s="9" t="n">
        <v>0</v>
      </c>
      <c r="K95" s="4" t="n">
        <v>0</v>
      </c>
      <c r="L95" s="2" t="n">
        <v>146</v>
      </c>
      <c r="M95" s="13">
        <f>L95/(N95+L95+J95+H95+F95)</f>
        <v/>
      </c>
      <c r="N95" s="2" t="n">
        <v>2616</v>
      </c>
      <c r="O95" s="13">
        <f>N95/(N95+L95+J95+H95+F95)</f>
        <v/>
      </c>
    </row>
    <row r="96">
      <c r="A96" s="2" t="inlineStr">
        <is>
          <t>CARA-CARA</t>
        </is>
      </c>
      <c r="B96" s="6" t="n">
        <v>44953</v>
      </c>
      <c r="C96" s="11" t="inlineStr">
        <is>
          <t>9</t>
        </is>
      </c>
      <c r="D96" s="9">
        <f>E96*16</f>
        <v/>
      </c>
      <c r="E96" s="9" t="n">
        <v>87</v>
      </c>
      <c r="F96" s="9" t="n">
        <v>1812</v>
      </c>
      <c r="G96" s="4" t="n">
        <v>0.90555</v>
      </c>
      <c r="H96" s="9" t="n">
        <v>97</v>
      </c>
      <c r="I96" s="4" t="n">
        <v>0.04848</v>
      </c>
      <c r="J96" s="9" t="n">
        <v>0</v>
      </c>
      <c r="K96" s="4" t="n">
        <v>0</v>
      </c>
      <c r="L96" s="2" t="n">
        <v>40</v>
      </c>
      <c r="M96" s="13">
        <f>L96/(N96+L96+J96+H96+F96)</f>
        <v/>
      </c>
      <c r="N96" s="2" t="n">
        <v>52</v>
      </c>
      <c r="O96" s="13">
        <f>N96/(N96+L96+J96+H96+F96)</f>
        <v/>
      </c>
    </row>
    <row r="97">
      <c r="A97" s="2" t="inlineStr">
        <is>
          <t>CARA-CARA</t>
        </is>
      </c>
      <c r="B97" s="6" t="n">
        <v>44936</v>
      </c>
      <c r="C97" s="11" t="inlineStr">
        <is>
          <t>9</t>
        </is>
      </c>
      <c r="D97" s="9">
        <f>E97*16</f>
        <v/>
      </c>
      <c r="E97" s="9" t="n">
        <v>100</v>
      </c>
      <c r="F97" s="9" t="n">
        <v>1799</v>
      </c>
      <c r="G97" s="4" t="n">
        <v>0.78217</v>
      </c>
      <c r="H97" s="9" t="n">
        <v>203</v>
      </c>
      <c r="I97" s="4" t="n">
        <v>0.08826000000000001</v>
      </c>
      <c r="J97" s="9" t="n">
        <v>0</v>
      </c>
      <c r="K97" s="4" t="n">
        <v>0</v>
      </c>
      <c r="L97" s="2" t="n">
        <v>46</v>
      </c>
      <c r="M97" s="13">
        <f>L97/(N97+L97+J97+H97+F97)</f>
        <v/>
      </c>
      <c r="N97" s="2" t="n">
        <v>252</v>
      </c>
      <c r="O97" s="13">
        <f>N97/(N97+L97+J97+H97+F97)</f>
        <v/>
      </c>
    </row>
    <row r="98">
      <c r="A98" s="2" t="inlineStr">
        <is>
          <t>CARA-CARA</t>
        </is>
      </c>
      <c r="B98" s="6" t="n">
        <v>44932</v>
      </c>
      <c r="C98" s="11" t="inlineStr">
        <is>
          <t>9</t>
        </is>
      </c>
      <c r="D98" s="9">
        <f>E98*16</f>
        <v/>
      </c>
      <c r="E98" s="9" t="n">
        <v>150</v>
      </c>
      <c r="F98" s="9" t="n">
        <v>2805</v>
      </c>
      <c r="G98" s="4" t="n">
        <v>0.81304</v>
      </c>
      <c r="H98" s="9" t="n">
        <v>242</v>
      </c>
      <c r="I98" s="4" t="n">
        <v>0.07013999999999999</v>
      </c>
      <c r="J98" s="9" t="n">
        <v>0</v>
      </c>
      <c r="K98" s="4" t="n">
        <v>0</v>
      </c>
      <c r="L98" s="2" t="n">
        <v>69</v>
      </c>
      <c r="M98" s="13">
        <f>L98/(N98+L98+J98+H98+F98)</f>
        <v/>
      </c>
      <c r="N98" s="2" t="n">
        <v>334</v>
      </c>
      <c r="O98" s="13">
        <f>N98/(N98+L98+J98+H98+F98)</f>
        <v/>
      </c>
    </row>
    <row r="99">
      <c r="A99" s="2" t="inlineStr">
        <is>
          <t>CLEMENTINES</t>
        </is>
      </c>
      <c r="B99" s="6" t="n">
        <v>44531</v>
      </c>
      <c r="C99" s="11" t="inlineStr">
        <is>
          <t>1</t>
        </is>
      </c>
      <c r="D99" s="9">
        <f>E99*16</f>
        <v/>
      </c>
      <c r="E99" s="9" t="n">
        <v>30</v>
      </c>
      <c r="F99" s="9" t="n">
        <v>4435</v>
      </c>
      <c r="G99" s="4" t="n">
        <v>0.85207</v>
      </c>
      <c r="H99" s="9" t="n">
        <v>0</v>
      </c>
      <c r="I99" s="4" t="n">
        <v>0</v>
      </c>
      <c r="J99" s="9" t="n">
        <v>0</v>
      </c>
      <c r="K99" s="4" t="n">
        <v>0</v>
      </c>
      <c r="L99" s="2" t="n">
        <v>104</v>
      </c>
      <c r="M99" s="13">
        <f>L99/(N99+L99+J99+H99+F99)</f>
        <v/>
      </c>
      <c r="N99" s="2" t="n">
        <v>666</v>
      </c>
      <c r="O99" s="13">
        <f>N99/(N99+L99+J99+H99+F99)</f>
        <v/>
      </c>
    </row>
    <row r="100">
      <c r="A100" s="2" t="inlineStr">
        <is>
          <t>CLEMENTINES</t>
        </is>
      </c>
      <c r="B100" s="6" t="n">
        <v>44530</v>
      </c>
      <c r="C100" s="11" t="inlineStr">
        <is>
          <t>1</t>
        </is>
      </c>
      <c r="D100" s="9">
        <f>E100*16</f>
        <v/>
      </c>
      <c r="E100" s="9" t="n">
        <v>46</v>
      </c>
      <c r="F100" s="9" t="n">
        <v>6239</v>
      </c>
      <c r="G100" s="4" t="n">
        <v>0.78173</v>
      </c>
      <c r="H100" s="9" t="n">
        <v>0</v>
      </c>
      <c r="I100" s="4" t="n">
        <v>0</v>
      </c>
      <c r="J100" s="9" t="n">
        <v>0</v>
      </c>
      <c r="K100" s="4" t="n">
        <v>0</v>
      </c>
      <c r="L100" s="2" t="n">
        <v>160</v>
      </c>
      <c r="M100" s="13">
        <f>L100/(N100+L100+J100+H100+F100)</f>
        <v/>
      </c>
      <c r="N100" s="2" t="n">
        <v>1582</v>
      </c>
      <c r="O100" s="13">
        <f>N100/(N100+L100+J100+H100+F100)</f>
        <v/>
      </c>
    </row>
    <row r="101">
      <c r="A101" s="2" t="inlineStr">
        <is>
          <t>NAVEL</t>
        </is>
      </c>
      <c r="B101" s="6" t="n">
        <v>44694</v>
      </c>
      <c r="C101" s="11" t="inlineStr">
        <is>
          <t>10</t>
        </is>
      </c>
      <c r="D101" s="9">
        <f>E101*16</f>
        <v/>
      </c>
      <c r="E101" s="9" t="n">
        <v>308</v>
      </c>
      <c r="F101" s="9" t="n">
        <v>3165</v>
      </c>
      <c r="G101" s="4" t="n">
        <v>0.44678</v>
      </c>
      <c r="H101" s="9" t="n">
        <v>1645</v>
      </c>
      <c r="I101" s="4" t="n">
        <v>0.23221</v>
      </c>
      <c r="J101" s="9" t="n">
        <v>0</v>
      </c>
      <c r="K101" s="4" t="n">
        <v>0</v>
      </c>
      <c r="L101" s="2" t="n">
        <v>142</v>
      </c>
      <c r="M101" s="13">
        <f>L101/(N101+L101+J101+H101+F101)</f>
        <v/>
      </c>
      <c r="N101" s="2" t="n">
        <v>2132</v>
      </c>
      <c r="O101" s="13">
        <f>N101/(N101+L101+J101+H101+F101)</f>
        <v/>
      </c>
    </row>
    <row r="102">
      <c r="A102" s="2" t="inlineStr">
        <is>
          <t>MURCOTTS</t>
        </is>
      </c>
      <c r="B102" s="6" t="n">
        <v>44608</v>
      </c>
      <c r="C102" s="11" t="inlineStr">
        <is>
          <t>11</t>
        </is>
      </c>
      <c r="D102" s="9">
        <f>E102*16</f>
        <v/>
      </c>
      <c r="E102" s="9" t="n">
        <v>32</v>
      </c>
      <c r="F102" s="9" t="n">
        <v>4390</v>
      </c>
      <c r="G102" s="4" t="n">
        <v>0.79071</v>
      </c>
      <c r="H102" s="9" t="n">
        <v>0</v>
      </c>
      <c r="I102" s="4" t="n">
        <v>0</v>
      </c>
      <c r="J102" s="9" t="n">
        <v>0</v>
      </c>
      <c r="K102" s="4" t="n">
        <v>0</v>
      </c>
      <c r="L102" s="2" t="n">
        <v>111</v>
      </c>
      <c r="M102" s="13">
        <f>L102/(N102+L102+J102+H102+F102)</f>
        <v/>
      </c>
      <c r="N102" s="2" t="n">
        <v>1051</v>
      </c>
      <c r="O102" s="13">
        <f>N102/(N102+L102+J102+H102+F102)</f>
        <v/>
      </c>
    </row>
    <row r="103">
      <c r="A103" s="2" t="inlineStr">
        <is>
          <t>MURCOTTS</t>
        </is>
      </c>
      <c r="B103" s="6" t="n">
        <v>44607</v>
      </c>
      <c r="C103" s="11" t="inlineStr">
        <is>
          <t>11</t>
        </is>
      </c>
      <c r="D103" s="9">
        <f>E103*16</f>
        <v/>
      </c>
      <c r="E103" s="9" t="n">
        <v>30</v>
      </c>
      <c r="F103" s="9" t="n">
        <v>4174</v>
      </c>
      <c r="G103" s="4" t="n">
        <v>0.80192</v>
      </c>
      <c r="H103" s="9" t="n">
        <v>0</v>
      </c>
      <c r="I103" s="4" t="n">
        <v>0</v>
      </c>
      <c r="J103" s="9" t="n">
        <v>0</v>
      </c>
      <c r="K103" s="4" t="n">
        <v>0</v>
      </c>
      <c r="L103" s="2" t="n">
        <v>104</v>
      </c>
      <c r="M103" s="13">
        <f>L103/(N103+L103+J103+H103+F103)</f>
        <v/>
      </c>
      <c r="N103" s="2" t="n">
        <v>927</v>
      </c>
      <c r="O103" s="13">
        <f>N103/(N103+L103+J103+H103+F103)</f>
        <v/>
      </c>
    </row>
    <row r="104">
      <c r="A104" s="2" t="inlineStr">
        <is>
          <t>MURCOTTS</t>
        </is>
      </c>
      <c r="B104" s="6" t="n">
        <v>44606</v>
      </c>
      <c r="C104" s="11" t="inlineStr">
        <is>
          <t>11</t>
        </is>
      </c>
      <c r="D104" s="9">
        <f>E104*16</f>
        <v/>
      </c>
      <c r="E104" s="9" t="n">
        <v>72</v>
      </c>
      <c r="F104" s="9" t="n">
        <v>9954</v>
      </c>
      <c r="G104" s="4" t="n">
        <v>0.79683</v>
      </c>
      <c r="H104" s="9" t="n">
        <v>0</v>
      </c>
      <c r="I104" s="4" t="n">
        <v>0</v>
      </c>
      <c r="J104" s="9" t="n">
        <v>0</v>
      </c>
      <c r="K104" s="4" t="n">
        <v>0</v>
      </c>
      <c r="L104" s="2" t="n">
        <v>250</v>
      </c>
      <c r="M104" s="13">
        <f>L104/(N104+L104+J104+H104+F104)</f>
        <v/>
      </c>
      <c r="N104" s="2" t="n">
        <v>2288</v>
      </c>
      <c r="O104" s="13">
        <f>N104/(N104+L104+J104+H104+F104)</f>
        <v/>
      </c>
    </row>
    <row r="105">
      <c r="A105" s="2" t="inlineStr">
        <is>
          <t>LEMONS</t>
        </is>
      </c>
      <c r="B105" s="6" t="n">
        <v>44735</v>
      </c>
      <c r="C105" s="11" t="inlineStr">
        <is>
          <t>12</t>
        </is>
      </c>
      <c r="D105" s="9">
        <f>E105*16</f>
        <v/>
      </c>
      <c r="E105" s="9" t="n">
        <v>17.5</v>
      </c>
      <c r="F105" s="9" t="n">
        <v>179</v>
      </c>
      <c r="G105" s="4" t="n">
        <v>0.46494</v>
      </c>
      <c r="H105" s="9" t="n">
        <v>73</v>
      </c>
      <c r="I105" s="4" t="n">
        <v>0.18961</v>
      </c>
      <c r="J105" s="9" t="n">
        <v>0</v>
      </c>
      <c r="K105" s="4" t="n">
        <v>0</v>
      </c>
      <c r="L105" s="2" t="n">
        <v>8</v>
      </c>
      <c r="M105" s="13">
        <f>L105/(N105+L105+J105+H105+F105)</f>
        <v/>
      </c>
      <c r="N105" s="2" t="n">
        <v>125</v>
      </c>
      <c r="O105" s="13">
        <f>N105/(N105+L105+J105+H105+F105)</f>
        <v/>
      </c>
    </row>
    <row r="106">
      <c r="A106" s="2" t="inlineStr">
        <is>
          <t>LEMONS</t>
        </is>
      </c>
      <c r="B106" s="6" t="n">
        <v>44713</v>
      </c>
      <c r="C106" s="11" t="inlineStr">
        <is>
          <t>12</t>
        </is>
      </c>
      <c r="D106" s="9">
        <f>E106*16</f>
        <v/>
      </c>
      <c r="E106" s="9" t="n">
        <v>150</v>
      </c>
      <c r="F106" s="9" t="n">
        <v>1620</v>
      </c>
      <c r="G106" s="4" t="n">
        <v>0.49091</v>
      </c>
      <c r="H106" s="9" t="n">
        <v>287</v>
      </c>
      <c r="I106" s="4" t="n">
        <v>0.08697000000000001</v>
      </c>
      <c r="J106" s="9" t="n">
        <v>0</v>
      </c>
      <c r="K106" s="4" t="n">
        <v>0</v>
      </c>
      <c r="L106" s="2" t="n">
        <v>66</v>
      </c>
      <c r="M106" s="13">
        <f>L106/(N106+L106+J106+H106+F106)</f>
        <v/>
      </c>
      <c r="N106" s="2" t="n">
        <v>1327</v>
      </c>
      <c r="O106" s="13">
        <f>N106/(N106+L106+J106+H106+F106)</f>
        <v/>
      </c>
    </row>
    <row r="107">
      <c r="A107" s="2" t="inlineStr">
        <is>
          <t>LEMONS</t>
        </is>
      </c>
      <c r="B107" s="6" t="n">
        <v>44712</v>
      </c>
      <c r="C107" s="11" t="inlineStr">
        <is>
          <t>12</t>
        </is>
      </c>
      <c r="D107" s="9">
        <f>E107*16</f>
        <v/>
      </c>
      <c r="E107" s="9" t="n">
        <v>150</v>
      </c>
      <c r="F107" s="9" t="n">
        <v>1405</v>
      </c>
      <c r="G107" s="4" t="n">
        <v>0.42576</v>
      </c>
      <c r="H107" s="9" t="n">
        <v>301</v>
      </c>
      <c r="I107" s="4" t="n">
        <v>0.09121</v>
      </c>
      <c r="J107" s="9" t="n">
        <v>0</v>
      </c>
      <c r="K107" s="4" t="n">
        <v>0</v>
      </c>
      <c r="L107" s="2" t="n">
        <v>66</v>
      </c>
      <c r="M107" s="13">
        <f>L107/(N107+L107+J107+H107+F107)</f>
        <v/>
      </c>
      <c r="N107" s="2" t="n">
        <v>1528</v>
      </c>
      <c r="O107" s="13">
        <f>N107/(N107+L107+J107+H107+F107)</f>
        <v/>
      </c>
    </row>
    <row r="108">
      <c r="A108" s="2" t="inlineStr">
        <is>
          <t>LEMONS</t>
        </is>
      </c>
      <c r="B108" s="6" t="n">
        <v>44709</v>
      </c>
      <c r="C108" s="11" t="inlineStr">
        <is>
          <t>12</t>
        </is>
      </c>
      <c r="D108" s="9">
        <f>E108*16</f>
        <v/>
      </c>
      <c r="E108" s="9" t="n">
        <v>150</v>
      </c>
      <c r="F108" s="9" t="n">
        <v>1569</v>
      </c>
      <c r="G108" s="4" t="n">
        <v>0.47545</v>
      </c>
      <c r="H108" s="9" t="n">
        <v>285</v>
      </c>
      <c r="I108" s="4" t="n">
        <v>0.08636000000000001</v>
      </c>
      <c r="J108" s="9" t="n">
        <v>0</v>
      </c>
      <c r="K108" s="4" t="n">
        <v>0</v>
      </c>
      <c r="L108" s="2" t="n">
        <v>66</v>
      </c>
      <c r="M108" s="13">
        <f>L108/(N108+L108+J108+H108+F108)</f>
        <v/>
      </c>
      <c r="N108" s="2" t="n">
        <v>1380</v>
      </c>
      <c r="O108" s="13">
        <f>N108/(N108+L108+J108+H108+F108)</f>
        <v/>
      </c>
    </row>
    <row r="109">
      <c r="A109" s="2" t="inlineStr">
        <is>
          <t>LEMONS</t>
        </is>
      </c>
      <c r="B109" s="6" t="n">
        <v>44533</v>
      </c>
      <c r="C109" s="11" t="inlineStr">
        <is>
          <t>12</t>
        </is>
      </c>
      <c r="D109" s="9">
        <f>E109*16</f>
        <v/>
      </c>
      <c r="E109" s="9" t="n">
        <v>275</v>
      </c>
      <c r="F109" s="9" t="n">
        <v>4450</v>
      </c>
      <c r="G109" s="4" t="n">
        <v>0.73554</v>
      </c>
      <c r="H109" s="9" t="n">
        <v>1128</v>
      </c>
      <c r="I109" s="4" t="n">
        <v>0.18645</v>
      </c>
      <c r="J109" s="9" t="n">
        <v>0</v>
      </c>
      <c r="K109" s="4" t="n">
        <v>0</v>
      </c>
      <c r="L109" s="2" t="n">
        <v>121</v>
      </c>
      <c r="M109" s="13">
        <f>L109/(N109+L109+J109+H109+F109)</f>
        <v/>
      </c>
      <c r="N109" s="2" t="n">
        <v>351</v>
      </c>
      <c r="O109" s="13">
        <f>N109/(N109+L109+J109+H109+F109)</f>
        <v/>
      </c>
    </row>
    <row r="110">
      <c r="A110" s="2" t="inlineStr">
        <is>
          <t>LEMONS</t>
        </is>
      </c>
      <c r="B110" s="6" t="n">
        <v>44532</v>
      </c>
      <c r="C110" s="11" t="inlineStr">
        <is>
          <t>12</t>
        </is>
      </c>
      <c r="D110" s="9">
        <f>E110*16</f>
        <v/>
      </c>
      <c r="E110" s="9" t="n">
        <v>100</v>
      </c>
      <c r="F110" s="9" t="n">
        <v>1603</v>
      </c>
      <c r="G110" s="4" t="n">
        <v>0.72864</v>
      </c>
      <c r="H110" s="9" t="n">
        <v>356</v>
      </c>
      <c r="I110" s="4" t="n">
        <v>0.16182</v>
      </c>
      <c r="J110" s="9" t="n">
        <v>0</v>
      </c>
      <c r="K110" s="4" t="n">
        <v>0</v>
      </c>
      <c r="L110" s="2" t="n">
        <v>44</v>
      </c>
      <c r="M110" s="13">
        <f>L110/(N110+L110+J110+H110+F110)</f>
        <v/>
      </c>
      <c r="N110" s="2" t="n">
        <v>197</v>
      </c>
      <c r="O110" s="13">
        <f>N110/(N110+L110+J110+H110+F110)</f>
        <v/>
      </c>
    </row>
    <row r="111">
      <c r="A111" s="2" t="inlineStr">
        <is>
          <t>NAVEL</t>
        </is>
      </c>
      <c r="B111" s="6" t="n">
        <v>44572</v>
      </c>
      <c r="C111" s="11" t="inlineStr">
        <is>
          <t>13W</t>
        </is>
      </c>
      <c r="D111" s="9">
        <f>E111*16</f>
        <v/>
      </c>
      <c r="E111" s="9" t="n">
        <v>22</v>
      </c>
      <c r="F111" s="9" t="n">
        <v>183</v>
      </c>
      <c r="G111" s="4" t="n">
        <v>0.36166</v>
      </c>
      <c r="H111" s="9" t="n">
        <v>167</v>
      </c>
      <c r="I111" s="4" t="n">
        <v>0.33004</v>
      </c>
      <c r="J111" s="9" t="n">
        <v>0</v>
      </c>
      <c r="K111" s="4" t="n">
        <v>0</v>
      </c>
      <c r="L111" s="2" t="n">
        <v>10</v>
      </c>
      <c r="M111" s="13">
        <f>L111/(N111+L111+J111+H111+F111)</f>
        <v/>
      </c>
      <c r="N111" s="2" t="n">
        <v>146</v>
      </c>
      <c r="O111" s="13">
        <f>N111/(N111+L111+J111+H111+F111)</f>
        <v/>
      </c>
    </row>
    <row r="112">
      <c r="A112" s="2" t="inlineStr">
        <is>
          <t>MURCOTTS</t>
        </is>
      </c>
      <c r="B112" s="6" t="n">
        <v>44607</v>
      </c>
      <c r="C112" s="11" t="inlineStr">
        <is>
          <t>2A</t>
        </is>
      </c>
      <c r="D112" s="9">
        <f>E112*16</f>
        <v/>
      </c>
      <c r="E112" s="9" t="n">
        <v>26</v>
      </c>
      <c r="F112" s="9" t="n">
        <v>3616</v>
      </c>
      <c r="G112" s="4" t="n">
        <v>0.8016</v>
      </c>
      <c r="H112" s="9" t="n">
        <v>0</v>
      </c>
      <c r="I112" s="4" t="n">
        <v>0</v>
      </c>
      <c r="J112" s="9" t="n">
        <v>0</v>
      </c>
      <c r="K112" s="4" t="n">
        <v>0</v>
      </c>
      <c r="L112" s="2" t="n">
        <v>90</v>
      </c>
      <c r="M112" s="13">
        <f>L112/(N112+L112+J112+H112+F112)</f>
        <v/>
      </c>
      <c r="N112" s="2" t="n">
        <v>805</v>
      </c>
      <c r="O112" s="13">
        <f>N112/(N112+L112+J112+H112+F112)</f>
        <v/>
      </c>
    </row>
    <row r="113">
      <c r="A113" s="2" t="inlineStr">
        <is>
          <t>MURCOTTS</t>
        </is>
      </c>
      <c r="B113" s="6" t="n">
        <v>44606</v>
      </c>
      <c r="C113" s="11" t="inlineStr">
        <is>
          <t>2A</t>
        </is>
      </c>
      <c r="D113" s="9">
        <f>E113*16</f>
        <v/>
      </c>
      <c r="E113" s="9" t="n">
        <v>72</v>
      </c>
      <c r="F113" s="9" t="n">
        <v>9954</v>
      </c>
      <c r="G113" s="4" t="n">
        <v>0.79683</v>
      </c>
      <c r="H113" s="9" t="n">
        <v>0</v>
      </c>
      <c r="I113" s="4" t="n">
        <v>0</v>
      </c>
      <c r="J113" s="9" t="n">
        <v>0</v>
      </c>
      <c r="K113" s="4" t="n">
        <v>0</v>
      </c>
      <c r="L113" s="2" t="n">
        <v>250</v>
      </c>
      <c r="M113" s="13">
        <f>L113/(N113+L113+J113+H113+F113)</f>
        <v/>
      </c>
      <c r="N113" s="2" t="n">
        <v>2288</v>
      </c>
      <c r="O113" s="13">
        <f>N113/(N113+L113+J113+H113+F113)</f>
        <v/>
      </c>
    </row>
    <row r="114">
      <c r="A114" s="2" t="inlineStr">
        <is>
          <t>CLEMENTINES</t>
        </is>
      </c>
      <c r="B114" s="6" t="n">
        <v>44552</v>
      </c>
      <c r="C114" s="11" t="inlineStr">
        <is>
          <t>2B</t>
        </is>
      </c>
      <c r="D114" s="9">
        <f>E114*16</f>
        <v/>
      </c>
      <c r="E114" s="9" t="n">
        <v>29</v>
      </c>
      <c r="F114" s="9" t="n">
        <v>2932</v>
      </c>
      <c r="G114" s="4" t="n">
        <v>0.58279</v>
      </c>
      <c r="H114" s="9" t="n">
        <v>0</v>
      </c>
      <c r="I114" s="4" t="n">
        <v>0</v>
      </c>
      <c r="J114" s="9" t="n">
        <v>0</v>
      </c>
      <c r="K114" s="4" t="n">
        <v>0</v>
      </c>
      <c r="L114" s="2" t="n">
        <v>101</v>
      </c>
      <c r="M114" s="13">
        <f>L114/(N114+L114+J114+H114+F114)</f>
        <v/>
      </c>
      <c r="N114" s="2" t="n">
        <v>1998</v>
      </c>
      <c r="O114" s="13">
        <f>N114/(N114+L114+J114+H114+F114)</f>
        <v/>
      </c>
    </row>
    <row r="115">
      <c r="A115" s="2" t="inlineStr">
        <is>
          <t>CLEMENTINES</t>
        </is>
      </c>
      <c r="B115" s="6" t="n">
        <v>44551</v>
      </c>
      <c r="C115" s="11" t="inlineStr">
        <is>
          <t>2B</t>
        </is>
      </c>
      <c r="D115" s="9">
        <f>E115*16</f>
        <v/>
      </c>
      <c r="E115" s="9" t="n">
        <v>48</v>
      </c>
      <c r="F115" s="9" t="n">
        <v>5307</v>
      </c>
      <c r="G115" s="4" t="n">
        <v>0.63725</v>
      </c>
      <c r="H115" s="9" t="n">
        <v>0</v>
      </c>
      <c r="I115" s="4" t="n">
        <v>0</v>
      </c>
      <c r="J115" s="9" t="n">
        <v>0</v>
      </c>
      <c r="K115" s="4" t="n">
        <v>0</v>
      </c>
      <c r="L115" s="2" t="n">
        <v>167</v>
      </c>
      <c r="M115" s="13">
        <f>L115/(N115+L115+J115+H115+F115)</f>
        <v/>
      </c>
      <c r="N115" s="2" t="n">
        <v>2854</v>
      </c>
      <c r="O115" s="13">
        <f>N115/(N115+L115+J115+H115+F115)</f>
        <v/>
      </c>
    </row>
    <row r="116">
      <c r="A116" s="2" t="inlineStr">
        <is>
          <t>CLEMENTINES</t>
        </is>
      </c>
      <c r="B116" s="6" t="n">
        <v>44539</v>
      </c>
      <c r="C116" s="11" t="inlineStr">
        <is>
          <t>2B</t>
        </is>
      </c>
      <c r="D116" s="9">
        <f>E116*16</f>
        <v/>
      </c>
      <c r="E116" s="9" t="n">
        <v>50</v>
      </c>
      <c r="F116" s="9" t="n">
        <v>6795</v>
      </c>
      <c r="G116" s="4" t="n">
        <v>0.78329</v>
      </c>
      <c r="H116" s="9" t="n">
        <v>0</v>
      </c>
      <c r="I116" s="4" t="n">
        <v>0</v>
      </c>
      <c r="J116" s="9" t="n">
        <v>0</v>
      </c>
      <c r="K116" s="4" t="n">
        <v>0</v>
      </c>
      <c r="L116" s="2" t="n">
        <v>174</v>
      </c>
      <c r="M116" s="13">
        <f>L116/(N116+L116+J116+H116+F116)</f>
        <v/>
      </c>
      <c r="N116" s="2" t="n">
        <v>1706</v>
      </c>
      <c r="O116" s="13">
        <f>N116/(N116+L116+J116+H116+F116)</f>
        <v/>
      </c>
    </row>
    <row r="117">
      <c r="A117" s="2" t="inlineStr">
        <is>
          <t>CLEMENTINES</t>
        </is>
      </c>
      <c r="B117" s="6" t="n">
        <v>44531</v>
      </c>
      <c r="C117" s="11" t="inlineStr">
        <is>
          <t>2B</t>
        </is>
      </c>
      <c r="D117" s="9">
        <f>E117*16</f>
        <v/>
      </c>
      <c r="E117" s="9" t="n">
        <v>8</v>
      </c>
      <c r="F117" s="9" t="n">
        <v>1183</v>
      </c>
      <c r="G117" s="4" t="n">
        <v>0.85231</v>
      </c>
      <c r="H117" s="9" t="n">
        <v>0</v>
      </c>
      <c r="I117" s="4" t="n">
        <v>0</v>
      </c>
      <c r="J117" s="9" t="n">
        <v>0</v>
      </c>
      <c r="K117" s="4" t="n">
        <v>0</v>
      </c>
      <c r="L117" s="2" t="n">
        <v>28</v>
      </c>
      <c r="M117" s="13">
        <f>L117/(N117+L117+J117+H117+F117)</f>
        <v/>
      </c>
      <c r="N117" s="2" t="n">
        <v>177</v>
      </c>
      <c r="O117" s="13">
        <f>N117/(N117+L117+J117+H117+F117)</f>
        <v/>
      </c>
    </row>
    <row r="118">
      <c r="A118" s="2" t="inlineStr">
        <is>
          <t>NAVEL</t>
        </is>
      </c>
      <c r="B118" s="6" t="n">
        <v>44708</v>
      </c>
      <c r="C118" s="11" t="inlineStr">
        <is>
          <t>8</t>
        </is>
      </c>
      <c r="D118" s="9">
        <f>E118*16</f>
        <v/>
      </c>
      <c r="E118" s="9" t="n">
        <v>50</v>
      </c>
      <c r="F118" s="9" t="n">
        <v>621</v>
      </c>
      <c r="G118" s="4" t="n">
        <v>0.54</v>
      </c>
      <c r="H118" s="9" t="n">
        <v>351</v>
      </c>
      <c r="I118" s="4" t="n">
        <v>0.30522</v>
      </c>
      <c r="J118" s="9" t="n">
        <v>0</v>
      </c>
      <c r="K118" s="4" t="n">
        <v>0</v>
      </c>
      <c r="L118" s="2" t="n">
        <v>23</v>
      </c>
      <c r="M118" s="13">
        <f>L118/(N118+L118+J118+H118+F118)</f>
        <v/>
      </c>
      <c r="N118" s="2" t="n">
        <v>155</v>
      </c>
      <c r="O118" s="13">
        <f>N118/(N118+L118+J118+H118+F118)</f>
        <v/>
      </c>
    </row>
    <row r="119">
      <c r="A119" s="2" t="inlineStr">
        <is>
          <t>NAVEL</t>
        </is>
      </c>
      <c r="B119" s="6" t="n">
        <v>44712</v>
      </c>
      <c r="C119" s="11" t="inlineStr">
        <is>
          <t>8</t>
        </is>
      </c>
      <c r="D119" s="9">
        <f>E119*16</f>
        <v/>
      </c>
      <c r="E119" s="9" t="n">
        <v>88</v>
      </c>
      <c r="F119" s="9" t="n">
        <v>1147</v>
      </c>
      <c r="G119" s="4" t="n">
        <v>0.5667</v>
      </c>
      <c r="H119" s="9" t="n">
        <v>426</v>
      </c>
      <c r="I119" s="4" t="n">
        <v>0.21047</v>
      </c>
      <c r="J119" s="9" t="n">
        <v>0</v>
      </c>
      <c r="K119" s="4" t="n">
        <v>0</v>
      </c>
      <c r="L119" s="2" t="n">
        <v>40</v>
      </c>
      <c r="M119" s="13">
        <f>L119/(N119+L119+J119+H119+F119)</f>
        <v/>
      </c>
      <c r="N119" s="2" t="n">
        <v>411</v>
      </c>
      <c r="O119" s="13">
        <f>N119/(N119+L119+J119+H119+F119)</f>
        <v/>
      </c>
    </row>
    <row r="120">
      <c r="A120" s="2" t="inlineStr">
        <is>
          <t>NAVEL</t>
        </is>
      </c>
      <c r="B120" s="6" t="n">
        <v>44679</v>
      </c>
      <c r="C120" s="11" t="inlineStr">
        <is>
          <t>8</t>
        </is>
      </c>
      <c r="D120" s="9">
        <f>E120*16</f>
        <v/>
      </c>
      <c r="E120" s="9" t="n">
        <v>350</v>
      </c>
      <c r="F120" s="9" t="n">
        <v>5020</v>
      </c>
      <c r="G120" s="4" t="n">
        <v>0.6236</v>
      </c>
      <c r="H120" s="9" t="n">
        <v>2116</v>
      </c>
      <c r="I120" s="4" t="n">
        <v>0.26286</v>
      </c>
      <c r="J120" s="9" t="n">
        <v>0</v>
      </c>
      <c r="K120" s="4" t="n">
        <v>0</v>
      </c>
      <c r="L120" s="2" t="n">
        <v>161</v>
      </c>
      <c r="M120" s="13">
        <f>L120/(N120+L120+J120+H120+F120)</f>
        <v/>
      </c>
      <c r="N120" s="2" t="n">
        <v>753</v>
      </c>
      <c r="O120" s="13">
        <f>N120/(N120+L120+J120+H120+F120)</f>
        <v/>
      </c>
    </row>
    <row r="121">
      <c r="A121" s="2" t="inlineStr">
        <is>
          <t>CARA-CARA</t>
        </is>
      </c>
      <c r="B121" s="6" t="n">
        <v>44630</v>
      </c>
      <c r="C121" s="11" t="inlineStr">
        <is>
          <t>9</t>
        </is>
      </c>
      <c r="D121" s="9">
        <f>E121*16</f>
        <v/>
      </c>
      <c r="E121" s="9" t="n">
        <v>116</v>
      </c>
      <c r="F121" s="9" t="n">
        <v>1891</v>
      </c>
      <c r="G121" s="4" t="n">
        <v>0.70877</v>
      </c>
      <c r="H121" s="9" t="n">
        <v>420</v>
      </c>
      <c r="I121" s="4" t="n">
        <v>0.15742</v>
      </c>
      <c r="J121" s="9" t="n">
        <v>0</v>
      </c>
      <c r="K121" s="4" t="n">
        <v>0</v>
      </c>
      <c r="L121" s="2" t="n">
        <v>53</v>
      </c>
      <c r="M121" s="13">
        <f>L121/(N121+L121+J121+H121+F121)</f>
        <v/>
      </c>
      <c r="N121" s="2" t="n">
        <v>304</v>
      </c>
      <c r="O121" s="13">
        <f>N121/(N121+L121+J121+H121+F121)</f>
        <v/>
      </c>
    </row>
    <row r="122">
      <c r="A122" s="2" t="inlineStr">
        <is>
          <t>CARA-CARA</t>
        </is>
      </c>
      <c r="B122" s="6" t="n">
        <v>44628</v>
      </c>
      <c r="C122" s="11" t="inlineStr">
        <is>
          <t>9</t>
        </is>
      </c>
      <c r="D122" s="9">
        <f>E122*16</f>
        <v/>
      </c>
      <c r="E122" s="9" t="n">
        <v>154</v>
      </c>
      <c r="F122" s="9" t="n">
        <v>2620</v>
      </c>
      <c r="G122" s="4" t="n">
        <v>0.7397</v>
      </c>
      <c r="H122" s="9" t="n">
        <v>575</v>
      </c>
      <c r="I122" s="4" t="n">
        <v>0.16234</v>
      </c>
      <c r="J122" s="9" t="n">
        <v>0</v>
      </c>
      <c r="K122" s="4" t="n">
        <v>0</v>
      </c>
      <c r="L122" s="2" t="n">
        <v>71</v>
      </c>
      <c r="M122" s="13">
        <f>L122/(N122+L122+J122+H122+F122)</f>
        <v/>
      </c>
      <c r="N122" s="2" t="n">
        <v>276</v>
      </c>
      <c r="O122" s="13">
        <f>N122/(N122+L122+J122+H122+F122)</f>
        <v/>
      </c>
    </row>
    <row r="123">
      <c r="A123" s="2" t="inlineStr">
        <is>
          <t>CARA-CARA</t>
        </is>
      </c>
      <c r="B123" s="6" t="n">
        <v>44571</v>
      </c>
      <c r="C123" s="11" t="inlineStr">
        <is>
          <t>9</t>
        </is>
      </c>
      <c r="D123" s="9">
        <f>E123*16</f>
        <v/>
      </c>
      <c r="E123" s="9" t="n">
        <v>199</v>
      </c>
      <c r="F123" s="9" t="n">
        <v>3316</v>
      </c>
      <c r="G123" s="4" t="n">
        <v>0.72449</v>
      </c>
      <c r="H123" s="9" t="n">
        <v>641</v>
      </c>
      <c r="I123" s="4" t="n">
        <v>0.14005</v>
      </c>
      <c r="J123" s="9" t="n">
        <v>0</v>
      </c>
      <c r="K123" s="4" t="n">
        <v>0</v>
      </c>
      <c r="L123" s="2" t="n">
        <v>92</v>
      </c>
      <c r="M123" s="13">
        <f>L123/(N123+L123+J123+H123+F123)</f>
        <v/>
      </c>
      <c r="N123" s="2" t="n">
        <v>528</v>
      </c>
      <c r="O123" s="13">
        <f>N123/(N123+L123+J123+H123+F123)</f>
        <v/>
      </c>
    </row>
    <row r="124">
      <c r="A124" s="2" t="inlineStr">
        <is>
          <t>NAVEL</t>
        </is>
      </c>
      <c r="B124" s="6" t="n">
        <v>44327</v>
      </c>
      <c r="C124" s="11" t="inlineStr">
        <is>
          <t>10</t>
        </is>
      </c>
      <c r="D124" s="9">
        <f>E124*16</f>
        <v/>
      </c>
      <c r="E124" s="9" t="n">
        <v>48</v>
      </c>
      <c r="F124" s="9" t="n">
        <v>715</v>
      </c>
      <c r="G124" s="4" t="n">
        <v>0.64764</v>
      </c>
      <c r="H124" s="9" t="n">
        <v>132</v>
      </c>
      <c r="I124" s="4" t="n">
        <v>0.11957</v>
      </c>
      <c r="J124" s="9" t="n">
        <v>0</v>
      </c>
      <c r="K124" s="4" t="n">
        <v>0</v>
      </c>
      <c r="L124" s="2" t="n">
        <v>22</v>
      </c>
      <c r="M124" s="13">
        <f>L124/(N124+L124+J124+H124+F124)</f>
        <v/>
      </c>
      <c r="N124" s="2" t="n">
        <v>235</v>
      </c>
      <c r="O124" s="13">
        <f>N124/(N124+L124+J124+H124+F124)</f>
        <v/>
      </c>
    </row>
    <row r="125">
      <c r="A125" s="2" t="inlineStr">
        <is>
          <t>NAVEL</t>
        </is>
      </c>
      <c r="B125" s="6" t="n">
        <v>44326</v>
      </c>
      <c r="C125" s="11" t="inlineStr">
        <is>
          <t>10</t>
        </is>
      </c>
      <c r="D125" s="9">
        <f>E125*16</f>
        <v/>
      </c>
      <c r="E125" s="9" t="n">
        <v>246</v>
      </c>
      <c r="F125" s="9" t="n">
        <v>4054</v>
      </c>
      <c r="G125" s="4" t="n">
        <v>0.71651</v>
      </c>
      <c r="H125" s="9" t="n">
        <v>871</v>
      </c>
      <c r="I125" s="4" t="n">
        <v>0.15394</v>
      </c>
      <c r="J125" s="9" t="n">
        <v>0</v>
      </c>
      <c r="K125" s="4" t="n">
        <v>0</v>
      </c>
      <c r="L125" s="2" t="n">
        <v>113</v>
      </c>
      <c r="M125" s="13">
        <f>L125/(N125+L125+J125+H125+F125)</f>
        <v/>
      </c>
      <c r="N125" s="2" t="n">
        <v>620</v>
      </c>
      <c r="O125" s="13">
        <f>N125/(N125+L125+J125+H125+F125)</f>
        <v/>
      </c>
    </row>
    <row r="126">
      <c r="A126" s="2" t="inlineStr">
        <is>
          <t>NAVEL</t>
        </is>
      </c>
      <c r="B126" s="6" t="n">
        <v>44326</v>
      </c>
      <c r="C126" s="11" t="inlineStr">
        <is>
          <t>10</t>
        </is>
      </c>
      <c r="D126" s="9">
        <f>E126*16</f>
        <v/>
      </c>
      <c r="E126" s="9" t="n">
        <v>250</v>
      </c>
      <c r="F126" s="9" t="n">
        <v>3642</v>
      </c>
      <c r="G126" s="4" t="n">
        <v>0.63339</v>
      </c>
      <c r="H126" s="9" t="n">
        <v>786</v>
      </c>
      <c r="I126" s="4" t="n">
        <v>0.1367</v>
      </c>
      <c r="J126" s="9" t="n">
        <v>0</v>
      </c>
      <c r="K126" s="4" t="n">
        <v>0</v>
      </c>
      <c r="L126" s="2" t="n">
        <v>115</v>
      </c>
      <c r="M126" s="13">
        <f>L126/(N126+L126+J126+H126+F126)</f>
        <v/>
      </c>
      <c r="N126" s="2" t="n">
        <v>1207</v>
      </c>
      <c r="O126" s="13">
        <f>N126/(N126+L126+J126+H126+F126)</f>
        <v/>
      </c>
    </row>
    <row r="127">
      <c r="A127" s="2" t="inlineStr">
        <is>
          <t>MURCOTTS</t>
        </is>
      </c>
      <c r="B127" s="6" t="n">
        <v>44258</v>
      </c>
      <c r="C127" s="11" t="inlineStr">
        <is>
          <t>11</t>
        </is>
      </c>
      <c r="D127" s="9">
        <f>E127*16</f>
        <v/>
      </c>
      <c r="E127" s="9" t="n">
        <v>39</v>
      </c>
      <c r="F127" s="9" t="n">
        <v>4722</v>
      </c>
      <c r="G127" s="4" t="n">
        <v>0.6979</v>
      </c>
      <c r="H127" s="9" t="n">
        <v>0</v>
      </c>
      <c r="I127" s="4" t="n">
        <v>0</v>
      </c>
      <c r="J127" s="9" t="n">
        <v>0</v>
      </c>
      <c r="K127" s="4" t="n">
        <v>0</v>
      </c>
      <c r="L127" s="2" t="n">
        <v>135</v>
      </c>
      <c r="M127" s="13">
        <f>L127/(N127+L127+J127+H127+F127)</f>
        <v/>
      </c>
      <c r="N127" s="2" t="n">
        <v>1909</v>
      </c>
      <c r="O127" s="13">
        <f>N127/(N127+L127+J127+H127+F127)</f>
        <v/>
      </c>
    </row>
    <row r="128">
      <c r="A128" s="2" t="inlineStr">
        <is>
          <t>LEMONS</t>
        </is>
      </c>
      <c r="B128" s="6" t="n">
        <v>44274</v>
      </c>
      <c r="C128" s="11" t="inlineStr">
        <is>
          <t>12</t>
        </is>
      </c>
      <c r="D128" s="9">
        <f>E128*16</f>
        <v/>
      </c>
      <c r="E128" s="9" t="n">
        <v>27</v>
      </c>
      <c r="F128" s="9" t="n">
        <v>165</v>
      </c>
      <c r="G128" s="4" t="n">
        <v>0.27778</v>
      </c>
      <c r="H128" s="9" t="n">
        <v>155</v>
      </c>
      <c r="I128" s="4" t="n">
        <v>0.26094</v>
      </c>
      <c r="J128" s="9" t="n">
        <v>0</v>
      </c>
      <c r="K128" s="4" t="n">
        <v>0</v>
      </c>
      <c r="L128" s="2" t="n">
        <v>12</v>
      </c>
      <c r="M128" s="13">
        <f>L128/(N128+L128+J128+H128+F128)</f>
        <v/>
      </c>
      <c r="N128" s="2" t="n">
        <v>262</v>
      </c>
      <c r="O128" s="13">
        <f>N128/(N128+L128+J128+H128+F128)</f>
        <v/>
      </c>
    </row>
    <row r="129">
      <c r="A129" s="2" t="inlineStr">
        <is>
          <t>LEMONS</t>
        </is>
      </c>
      <c r="B129" s="6" t="n">
        <v>44273</v>
      </c>
      <c r="C129" s="11" t="inlineStr">
        <is>
          <t>12</t>
        </is>
      </c>
      <c r="D129" s="9">
        <f>E129*16</f>
        <v/>
      </c>
      <c r="E129" s="9" t="n">
        <v>150</v>
      </c>
      <c r="F129" s="9" t="n">
        <v>1353</v>
      </c>
      <c r="G129" s="4" t="n">
        <v>0.41</v>
      </c>
      <c r="H129" s="9" t="n">
        <v>962</v>
      </c>
      <c r="I129" s="4" t="n">
        <v>0.29152</v>
      </c>
      <c r="J129" s="9" t="n">
        <v>0</v>
      </c>
      <c r="K129" s="4" t="n">
        <v>0</v>
      </c>
      <c r="L129" s="2" t="n">
        <v>66</v>
      </c>
      <c r="M129" s="13">
        <f>L129/(N129+L129+J129+H129+F129)</f>
        <v/>
      </c>
      <c r="N129" s="2" t="n">
        <v>919</v>
      </c>
      <c r="O129" s="13">
        <f>N129/(N129+L129+J129+H129+F129)</f>
        <v/>
      </c>
    </row>
    <row r="130">
      <c r="A130" s="2" t="inlineStr">
        <is>
          <t>LEMONS</t>
        </is>
      </c>
      <c r="B130" s="6" t="n">
        <v>44270</v>
      </c>
      <c r="C130" s="11" t="inlineStr">
        <is>
          <t>12</t>
        </is>
      </c>
      <c r="D130" s="9">
        <f>E130*16</f>
        <v/>
      </c>
      <c r="E130" s="9" t="n">
        <v>37</v>
      </c>
      <c r="F130" s="9" t="n">
        <v>347</v>
      </c>
      <c r="G130" s="4" t="n">
        <v>0.42629</v>
      </c>
      <c r="H130" s="9" t="n">
        <v>188</v>
      </c>
      <c r="I130" s="4" t="n">
        <v>0.23096</v>
      </c>
      <c r="J130" s="9" t="n">
        <v>0</v>
      </c>
      <c r="K130" s="4" t="n">
        <v>0</v>
      </c>
      <c r="L130" s="2" t="n">
        <v>16</v>
      </c>
      <c r="M130" s="13">
        <f>L130/(N130+L130+J130+H130+F130)</f>
        <v/>
      </c>
      <c r="N130" s="2" t="n">
        <v>263</v>
      </c>
      <c r="O130" s="13">
        <f>N130/(N130+L130+J130+H130+F130)</f>
        <v/>
      </c>
    </row>
    <row r="131">
      <c r="A131" s="2" t="inlineStr">
        <is>
          <t>LEMONS</t>
        </is>
      </c>
      <c r="B131" s="6" t="n">
        <v>44265</v>
      </c>
      <c r="C131" s="11" t="inlineStr">
        <is>
          <t>12</t>
        </is>
      </c>
      <c r="D131" s="9">
        <f>E131*16</f>
        <v/>
      </c>
      <c r="E131" s="9" t="n">
        <v>100</v>
      </c>
      <c r="F131" s="9" t="n">
        <v>894</v>
      </c>
      <c r="G131" s="4" t="n">
        <v>0.40636</v>
      </c>
      <c r="H131" s="9" t="n">
        <v>595</v>
      </c>
      <c r="I131" s="4" t="n">
        <v>0.27045</v>
      </c>
      <c r="J131" s="9" t="n">
        <v>0</v>
      </c>
      <c r="K131" s="4" t="n">
        <v>0</v>
      </c>
      <c r="L131" s="2" t="n">
        <v>44</v>
      </c>
      <c r="M131" s="13">
        <f>L131/(N131+L131+J131+H131+F131)</f>
        <v/>
      </c>
      <c r="N131" s="2" t="n">
        <v>667</v>
      </c>
      <c r="O131" s="13">
        <f>N131/(N131+L131+J131+H131+F131)</f>
        <v/>
      </c>
    </row>
    <row r="132">
      <c r="A132" s="2" t="inlineStr">
        <is>
          <t>LEMONS</t>
        </is>
      </c>
      <c r="B132" s="6" t="n">
        <v>44218</v>
      </c>
      <c r="C132" s="11" t="inlineStr">
        <is>
          <t>12</t>
        </is>
      </c>
      <c r="D132" s="9">
        <f>E132*16</f>
        <v/>
      </c>
      <c r="E132" s="9" t="n">
        <v>149</v>
      </c>
      <c r="F132" s="9" t="n">
        <v>1639</v>
      </c>
      <c r="G132" s="4" t="n">
        <v>0.5</v>
      </c>
      <c r="H132" s="9" t="n">
        <v>862</v>
      </c>
      <c r="I132" s="4" t="n">
        <v>0.26297</v>
      </c>
      <c r="J132" s="9" t="n">
        <v>0</v>
      </c>
      <c r="K132" s="4" t="n">
        <v>0</v>
      </c>
      <c r="L132" s="2" t="n">
        <v>66</v>
      </c>
      <c r="M132" s="13">
        <f>L132/(N132+L132+J132+H132+F132)</f>
        <v/>
      </c>
      <c r="N132" s="2" t="n">
        <v>711</v>
      </c>
      <c r="O132" s="13">
        <f>N132/(N132+L132+J132+H132+F132)</f>
        <v/>
      </c>
    </row>
    <row r="133">
      <c r="A133" s="2" t="inlineStr">
        <is>
          <t>LEMONS</t>
        </is>
      </c>
      <c r="B133" s="6" t="n">
        <v>44217</v>
      </c>
      <c r="C133" s="11" t="inlineStr">
        <is>
          <t>12</t>
        </is>
      </c>
      <c r="D133" s="9">
        <f>E133*16</f>
        <v/>
      </c>
      <c r="E133" s="9" t="n">
        <v>190</v>
      </c>
      <c r="F133" s="9" t="n">
        <v>2374</v>
      </c>
      <c r="G133" s="4" t="n">
        <v>0.56794</v>
      </c>
      <c r="H133" s="9" t="n">
        <v>1089</v>
      </c>
      <c r="I133" s="4" t="n">
        <v>0.26053</v>
      </c>
      <c r="J133" s="9" t="n">
        <v>0</v>
      </c>
      <c r="K133" s="4" t="n">
        <v>0</v>
      </c>
      <c r="L133" s="2" t="n">
        <v>84</v>
      </c>
      <c r="M133" s="13">
        <f>L133/(N133+L133+J133+H133+F133)</f>
        <v/>
      </c>
      <c r="N133" s="2" t="n">
        <v>633</v>
      </c>
      <c r="O133" s="13">
        <f>N133/(N133+L133+J133+H133+F133)</f>
        <v/>
      </c>
    </row>
    <row r="134">
      <c r="A134" s="2" t="inlineStr">
        <is>
          <t>LEMONS</t>
        </is>
      </c>
      <c r="B134" s="6" t="n">
        <v>44176</v>
      </c>
      <c r="C134" s="11" t="inlineStr">
        <is>
          <t>12</t>
        </is>
      </c>
      <c r="D134" s="9">
        <f>E134*16</f>
        <v/>
      </c>
      <c r="E134" s="9" t="n">
        <v>83</v>
      </c>
      <c r="F134" s="9" t="n">
        <v>874</v>
      </c>
      <c r="G134" s="4" t="n">
        <v>0.4789</v>
      </c>
      <c r="H134" s="9" t="n">
        <v>504</v>
      </c>
      <c r="I134" s="4" t="n">
        <v>0.27616</v>
      </c>
      <c r="J134" s="9" t="n">
        <v>0</v>
      </c>
      <c r="K134" s="4" t="n">
        <v>0</v>
      </c>
      <c r="L134" s="2" t="n">
        <v>37</v>
      </c>
      <c r="M134" s="13">
        <f>L134/(N134+L134+J134+H134+F134)</f>
        <v/>
      </c>
      <c r="N134" s="2" t="n">
        <v>410</v>
      </c>
      <c r="O134" s="13">
        <f>N134/(N134+L134+J134+H134+F134)</f>
        <v/>
      </c>
    </row>
    <row r="135">
      <c r="A135" s="2" t="inlineStr">
        <is>
          <t>LEMONS</t>
        </is>
      </c>
      <c r="B135" s="6" t="n">
        <v>44174</v>
      </c>
      <c r="C135" s="11" t="inlineStr">
        <is>
          <t>12</t>
        </is>
      </c>
      <c r="D135" s="9">
        <f>E135*16</f>
        <v/>
      </c>
      <c r="E135" s="9" t="n">
        <v>79</v>
      </c>
      <c r="F135" s="9" t="n">
        <v>742</v>
      </c>
      <c r="G135" s="4" t="n">
        <v>0.42693</v>
      </c>
      <c r="H135" s="9" t="n">
        <v>474</v>
      </c>
      <c r="I135" s="4" t="n">
        <v>0.27273</v>
      </c>
      <c r="J135" s="9" t="n">
        <v>0</v>
      </c>
      <c r="K135" s="4" t="n">
        <v>0</v>
      </c>
      <c r="L135" s="2" t="n">
        <v>35</v>
      </c>
      <c r="M135" s="13">
        <f>L135/(N135+L135+J135+H135+F135)</f>
        <v/>
      </c>
      <c r="N135" s="2" t="n">
        <v>487</v>
      </c>
      <c r="O135" s="13">
        <f>N135/(N135+L135+J135+H135+F135)</f>
        <v/>
      </c>
    </row>
    <row r="136">
      <c r="A136" s="2" t="inlineStr">
        <is>
          <t>LEMONS</t>
        </is>
      </c>
      <c r="B136" s="6" t="n">
        <v>44173</v>
      </c>
      <c r="C136" s="11" t="inlineStr">
        <is>
          <t>12</t>
        </is>
      </c>
      <c r="D136" s="9">
        <f>E136*16</f>
        <v/>
      </c>
      <c r="E136" s="9" t="n">
        <v>48</v>
      </c>
      <c r="F136" s="9" t="n">
        <v>619</v>
      </c>
      <c r="G136" s="4" t="n">
        <v>0.58617</v>
      </c>
      <c r="H136" s="9" t="n">
        <v>240</v>
      </c>
      <c r="I136" s="4" t="n">
        <v>0.22727</v>
      </c>
      <c r="J136" s="9" t="n">
        <v>0</v>
      </c>
      <c r="K136" s="4" t="n">
        <v>0</v>
      </c>
      <c r="L136" s="2" t="n">
        <v>21</v>
      </c>
      <c r="M136" s="13">
        <f>L136/(N136+L136+J136+H136+F136)</f>
        <v/>
      </c>
      <c r="N136" s="2" t="n">
        <v>176</v>
      </c>
      <c r="O136" s="13">
        <f>N136/(N136+L136+J136+H136+F136)</f>
        <v/>
      </c>
    </row>
    <row r="137">
      <c r="A137" s="2" t="inlineStr">
        <is>
          <t>LEMONS</t>
        </is>
      </c>
      <c r="B137" s="6" t="n">
        <v>44170</v>
      </c>
      <c r="C137" s="11" t="inlineStr">
        <is>
          <t>12</t>
        </is>
      </c>
      <c r="D137" s="9">
        <f>E137*16</f>
        <v/>
      </c>
      <c r="E137" s="9" t="n">
        <v>91</v>
      </c>
      <c r="F137" s="9" t="n">
        <v>1185</v>
      </c>
      <c r="G137" s="4" t="n">
        <v>0.5925</v>
      </c>
      <c r="H137" s="9" t="n">
        <v>406</v>
      </c>
      <c r="I137" s="4" t="n">
        <v>0.203</v>
      </c>
      <c r="J137" s="9" t="n">
        <v>0</v>
      </c>
      <c r="K137" s="4" t="n">
        <v>0</v>
      </c>
      <c r="L137" s="2" t="n">
        <v>40</v>
      </c>
      <c r="M137" s="13">
        <f>L137/(N137+L137+J137+H137+F137)</f>
        <v/>
      </c>
      <c r="N137" s="2" t="n">
        <v>369</v>
      </c>
      <c r="O137" s="13">
        <f>N137/(N137+L137+J137+H137+F137)</f>
        <v/>
      </c>
    </row>
    <row r="138">
      <c r="A138" s="2" t="inlineStr">
        <is>
          <t>MURCOTTS</t>
        </is>
      </c>
      <c r="B138" s="6" t="n">
        <v>44258</v>
      </c>
      <c r="C138" s="11" t="inlineStr">
        <is>
          <t>2A</t>
        </is>
      </c>
      <c r="D138" s="9">
        <f>E138*16</f>
        <v/>
      </c>
      <c r="E138" s="9" t="n">
        <v>49.75</v>
      </c>
      <c r="F138" s="9" t="n">
        <v>6025</v>
      </c>
      <c r="G138" s="4" t="n">
        <v>0.69798</v>
      </c>
      <c r="H138" s="9" t="n">
        <v>0</v>
      </c>
      <c r="I138" s="4" t="n">
        <v>0</v>
      </c>
      <c r="J138" s="9" t="n">
        <v>0</v>
      </c>
      <c r="K138" s="4" t="n">
        <v>0</v>
      </c>
      <c r="L138" s="2" t="n">
        <v>173</v>
      </c>
      <c r="M138" s="13">
        <f>L138/(N138+L138+J138+H138+F138)</f>
        <v/>
      </c>
      <c r="N138" s="2" t="n">
        <v>2434</v>
      </c>
      <c r="O138" s="13">
        <f>N138/(N138+L138+J138+H138+F138)</f>
        <v/>
      </c>
    </row>
    <row r="139">
      <c r="A139" s="2" t="inlineStr">
        <is>
          <t>CLEMENTINES</t>
        </is>
      </c>
      <c r="B139" s="6" t="n">
        <v>44211</v>
      </c>
      <c r="C139" s="11" t="inlineStr">
        <is>
          <t>2B</t>
        </is>
      </c>
      <c r="D139" s="9">
        <f>E139*16</f>
        <v/>
      </c>
      <c r="E139" s="9" t="n">
        <v>48</v>
      </c>
      <c r="F139" s="9" t="n">
        <v>5373</v>
      </c>
      <c r="G139" s="4" t="n">
        <v>0.64517</v>
      </c>
      <c r="H139" s="9" t="n">
        <v>0</v>
      </c>
      <c r="I139" s="4" t="n">
        <v>0</v>
      </c>
      <c r="J139" s="9" t="n">
        <v>0</v>
      </c>
      <c r="K139" s="4" t="n">
        <v>0</v>
      </c>
      <c r="L139" s="2" t="n">
        <v>167</v>
      </c>
      <c r="M139" s="13">
        <f>L139/(N139+L139+J139+H139+F139)</f>
        <v/>
      </c>
      <c r="N139" s="2" t="n">
        <v>2788</v>
      </c>
      <c r="O139" s="13">
        <f>N139/(N139+L139+J139+H139+F139)</f>
        <v/>
      </c>
    </row>
    <row r="140">
      <c r="A140" s="2" t="inlineStr">
        <is>
          <t>CLEMENTINES</t>
        </is>
      </c>
      <c r="B140" s="6" t="n">
        <v>44195</v>
      </c>
      <c r="C140" s="11" t="inlineStr">
        <is>
          <t>2B</t>
        </is>
      </c>
      <c r="D140" s="9">
        <f>E140*16</f>
        <v/>
      </c>
      <c r="E140" s="9" t="n">
        <v>31</v>
      </c>
      <c r="F140" s="9" t="n">
        <v>4420</v>
      </c>
      <c r="G140" s="4" t="n">
        <v>0.8217100000000001</v>
      </c>
      <c r="H140" s="9" t="n">
        <v>0</v>
      </c>
      <c r="I140" s="4" t="n">
        <v>0</v>
      </c>
      <c r="J140" s="9" t="n">
        <v>0</v>
      </c>
      <c r="K140" s="4" t="n">
        <v>0</v>
      </c>
      <c r="L140" s="2" t="n">
        <v>108</v>
      </c>
      <c r="M140" s="13">
        <f>L140/(N140+L140+J140+H140+F140)</f>
        <v/>
      </c>
      <c r="N140" s="2" t="n">
        <v>851</v>
      </c>
      <c r="O140" s="13">
        <f>N140/(N140+L140+J140+H140+F140)</f>
        <v/>
      </c>
    </row>
    <row r="141">
      <c r="A141" s="2" t="inlineStr">
        <is>
          <t>CLEMENTINES</t>
        </is>
      </c>
      <c r="B141" s="6" t="n">
        <v>44167</v>
      </c>
      <c r="C141" s="11" t="inlineStr">
        <is>
          <t>2B</t>
        </is>
      </c>
      <c r="D141" s="9">
        <f>E141*16</f>
        <v/>
      </c>
      <c r="E141" s="9" t="n">
        <v>85</v>
      </c>
      <c r="F141" s="9" t="n">
        <v>11303</v>
      </c>
      <c r="G141" s="4" t="n">
        <v>0.76641</v>
      </c>
      <c r="H141" s="9" t="n">
        <v>0</v>
      </c>
      <c r="I141" s="4" t="n">
        <v>0</v>
      </c>
      <c r="J141" s="9" t="n">
        <v>0</v>
      </c>
      <c r="K141" s="4" t="n">
        <v>0</v>
      </c>
      <c r="L141" s="2" t="n">
        <v>295</v>
      </c>
      <c r="M141" s="13">
        <f>L141/(N141+L141+J141+H141+F141)</f>
        <v/>
      </c>
      <c r="N141" s="2" t="n">
        <v>3150</v>
      </c>
      <c r="O141" s="13">
        <f>N141/(N141+L141+J141+H141+F141)</f>
        <v/>
      </c>
    </row>
    <row r="142">
      <c r="A142" s="2" t="inlineStr">
        <is>
          <t>CLEMENTINES</t>
        </is>
      </c>
      <c r="B142" s="6" t="n">
        <v>44166</v>
      </c>
      <c r="C142" s="11" t="inlineStr">
        <is>
          <t>2B</t>
        </is>
      </c>
      <c r="D142" s="9">
        <f>E142*16</f>
        <v/>
      </c>
      <c r="E142" s="9" t="n">
        <v>48</v>
      </c>
      <c r="F142" s="9" t="n">
        <v>6739</v>
      </c>
      <c r="G142" s="4" t="n">
        <v>0.8092</v>
      </c>
      <c r="H142" s="9" t="n">
        <v>0</v>
      </c>
      <c r="I142" s="4" t="n">
        <v>0</v>
      </c>
      <c r="J142" s="9" t="n">
        <v>0</v>
      </c>
      <c r="K142" s="4" t="n">
        <v>0</v>
      </c>
      <c r="L142" s="2" t="n">
        <v>167</v>
      </c>
      <c r="M142" s="13">
        <f>L142/(N142+L142+J142+H142+F142)</f>
        <v/>
      </c>
      <c r="N142" s="2" t="n">
        <v>1422</v>
      </c>
      <c r="O142" s="13">
        <f>N142/(N142+L142+J142+H142+F142)</f>
        <v/>
      </c>
    </row>
    <row r="143">
      <c r="A143" s="2" t="inlineStr">
        <is>
          <t>NAVEL</t>
        </is>
      </c>
      <c r="B143" s="6" t="n">
        <v>44344</v>
      </c>
      <c r="C143" s="11" t="inlineStr">
        <is>
          <t>8</t>
        </is>
      </c>
      <c r="D143" s="9">
        <f>E143*16</f>
        <v/>
      </c>
      <c r="E143" s="9" t="n">
        <v>298</v>
      </c>
      <c r="F143" s="9" t="n">
        <v>3192</v>
      </c>
      <c r="G143" s="4" t="n">
        <v>0.46571</v>
      </c>
      <c r="H143" s="9" t="n">
        <v>1170</v>
      </c>
      <c r="I143" s="4" t="n">
        <v>0.1707</v>
      </c>
      <c r="J143" s="9" t="n">
        <v>0</v>
      </c>
      <c r="K143" s="4" t="n">
        <v>0</v>
      </c>
      <c r="L143" s="2" t="n">
        <v>137</v>
      </c>
      <c r="M143" s="13">
        <f>L143/(N143+L143+J143+H143+F143)</f>
        <v/>
      </c>
      <c r="N143" s="2" t="n">
        <v>2355</v>
      </c>
      <c r="O143" s="13">
        <f>N143/(N143+L143+J143+H143+F143)</f>
        <v/>
      </c>
    </row>
    <row r="144">
      <c r="A144" s="2" t="inlineStr">
        <is>
          <t>NAVEL</t>
        </is>
      </c>
      <c r="B144" s="6" t="n">
        <v>44347</v>
      </c>
      <c r="C144" s="11" t="inlineStr">
        <is>
          <t>8</t>
        </is>
      </c>
      <c r="D144" s="9">
        <f>E144*16</f>
        <v/>
      </c>
      <c r="E144" s="9" t="n">
        <v>68</v>
      </c>
      <c r="F144" s="9" t="n">
        <v>728</v>
      </c>
      <c r="G144" s="4" t="n">
        <v>0.46547</v>
      </c>
      <c r="H144" s="9" t="n">
        <v>279</v>
      </c>
      <c r="I144" s="4" t="n">
        <v>0.17839</v>
      </c>
      <c r="J144" s="9" t="n">
        <v>0</v>
      </c>
      <c r="K144" s="4" t="n">
        <v>0</v>
      </c>
      <c r="L144" s="2" t="n">
        <v>31</v>
      </c>
      <c r="M144" s="13">
        <f>L144/(N144+L144+J144+H144+F144)</f>
        <v/>
      </c>
      <c r="N144" s="2" t="n">
        <v>526</v>
      </c>
      <c r="O144" s="13">
        <f>N144/(N144+L144+J144+H144+F144)</f>
        <v/>
      </c>
    </row>
    <row r="145">
      <c r="A145" s="2" t="inlineStr">
        <is>
          <t>NAVEL</t>
        </is>
      </c>
      <c r="B145" s="6" t="n">
        <v>44343</v>
      </c>
      <c r="C145" s="11" t="inlineStr">
        <is>
          <t>8</t>
        </is>
      </c>
      <c r="D145" s="9">
        <f>E145*16</f>
        <v/>
      </c>
      <c r="E145" s="9" t="n">
        <v>184</v>
      </c>
      <c r="F145" s="9" t="n">
        <v>2217</v>
      </c>
      <c r="G145" s="4" t="n">
        <v>0.5238699999999999</v>
      </c>
      <c r="H145" s="9" t="n">
        <v>649</v>
      </c>
      <c r="I145" s="4" t="n">
        <v>0.15336</v>
      </c>
      <c r="J145" s="9" t="n">
        <v>0</v>
      </c>
      <c r="K145" s="4" t="n">
        <v>0</v>
      </c>
      <c r="L145" s="2" t="n">
        <v>85</v>
      </c>
      <c r="M145" s="13">
        <f>L145/(N145+L145+J145+H145+F145)</f>
        <v/>
      </c>
      <c r="N145" s="2" t="n">
        <v>1281</v>
      </c>
      <c r="O145" s="13">
        <f>N145/(N145+L145+J145+H145+F145)</f>
        <v/>
      </c>
    </row>
    <row r="146">
      <c r="A146" s="2" t="inlineStr">
        <is>
          <t>NAVEL</t>
        </is>
      </c>
      <c r="B146" s="6" t="n">
        <v>44342</v>
      </c>
      <c r="C146" s="11" t="inlineStr">
        <is>
          <t>8</t>
        </is>
      </c>
      <c r="D146" s="9">
        <f>E146*16</f>
        <v/>
      </c>
      <c r="E146" s="9" t="n">
        <v>150</v>
      </c>
      <c r="F146" s="9" t="n">
        <v>1620</v>
      </c>
      <c r="G146" s="4" t="n">
        <v>0.46957</v>
      </c>
      <c r="H146" s="9" t="n">
        <v>549</v>
      </c>
      <c r="I146" s="4" t="n">
        <v>0.15913</v>
      </c>
      <c r="J146" s="9" t="n">
        <v>0</v>
      </c>
      <c r="K146" s="4" t="n">
        <v>0</v>
      </c>
      <c r="L146" s="2" t="n">
        <v>69</v>
      </c>
      <c r="M146" s="13">
        <f>L146/(N146+L146+J146+H146+F146)</f>
        <v/>
      </c>
      <c r="N146" s="2" t="n">
        <v>1212</v>
      </c>
      <c r="O146" s="13">
        <f>N146/(N146+L146+J146+H146+F146)</f>
        <v/>
      </c>
    </row>
    <row r="147">
      <c r="A147" s="2" t="inlineStr">
        <is>
          <t>CARA-CARA</t>
        </is>
      </c>
      <c r="B147" s="6" t="n">
        <v>44323</v>
      </c>
      <c r="C147" s="11" t="inlineStr">
        <is>
          <t>9</t>
        </is>
      </c>
      <c r="D147" s="9">
        <f>E147*16</f>
        <v/>
      </c>
      <c r="E147" s="9" t="n">
        <v>162</v>
      </c>
      <c r="F147" s="9" t="n">
        <v>525</v>
      </c>
      <c r="G147" s="4" t="n">
        <v>0.1409</v>
      </c>
      <c r="H147" s="9" t="n">
        <v>174</v>
      </c>
      <c r="I147" s="4" t="n">
        <v>0.0467</v>
      </c>
      <c r="J147" s="9" t="n">
        <v>0</v>
      </c>
      <c r="K147" s="4" t="n">
        <v>0</v>
      </c>
      <c r="L147" s="2" t="n">
        <v>75</v>
      </c>
      <c r="M147" s="13">
        <f>L147/(N147+L147+J147+H147+F147)</f>
        <v/>
      </c>
      <c r="N147" s="2" t="n">
        <v>2952</v>
      </c>
      <c r="O147" s="13">
        <f>N147/(N147+L147+J147+H147+F147)</f>
        <v/>
      </c>
    </row>
    <row r="148">
      <c r="A148" s="2" t="inlineStr">
        <is>
          <t>CARA-CARA</t>
        </is>
      </c>
      <c r="B148" s="6" t="n">
        <v>44313</v>
      </c>
      <c r="C148" s="11" t="inlineStr">
        <is>
          <t>9</t>
        </is>
      </c>
      <c r="D148" s="9">
        <f>E148*16</f>
        <v/>
      </c>
      <c r="E148" s="9" t="n">
        <v>100</v>
      </c>
      <c r="F148" s="9" t="n">
        <v>393</v>
      </c>
      <c r="G148" s="4" t="n">
        <v>0.17087</v>
      </c>
      <c r="H148" s="9" t="n">
        <v>109</v>
      </c>
      <c r="I148" s="4" t="n">
        <v>0.04739</v>
      </c>
      <c r="J148" s="9" t="n">
        <v>0</v>
      </c>
      <c r="K148" s="4" t="n">
        <v>0</v>
      </c>
      <c r="L148" s="2" t="n">
        <v>46</v>
      </c>
      <c r="M148" s="13">
        <f>L148/(N148+L148+J148+H148+F148)</f>
        <v/>
      </c>
      <c r="N148" s="2" t="n">
        <v>1752</v>
      </c>
      <c r="O148" s="13">
        <f>N148/(N148+L148+J148+H148+F148)</f>
        <v/>
      </c>
    </row>
    <row r="149">
      <c r="A149" s="2" t="inlineStr">
        <is>
          <t>CARA-CARA</t>
        </is>
      </c>
      <c r="B149" s="6" t="n">
        <v>44300</v>
      </c>
      <c r="C149" s="11" t="inlineStr">
        <is>
          <t>9</t>
        </is>
      </c>
      <c r="D149" s="9">
        <f>E149*16</f>
        <v/>
      </c>
      <c r="E149" s="9" t="n">
        <v>100</v>
      </c>
      <c r="F149" s="9" t="n">
        <v>1088</v>
      </c>
      <c r="G149" s="4" t="n">
        <v>0.47304</v>
      </c>
      <c r="H149" s="9" t="n">
        <v>198</v>
      </c>
      <c r="I149" s="4" t="n">
        <v>0.08609</v>
      </c>
      <c r="J149" s="9" t="n">
        <v>0</v>
      </c>
      <c r="K149" s="4" t="n">
        <v>0</v>
      </c>
      <c r="L149" s="2" t="n">
        <v>46</v>
      </c>
      <c r="M149" s="13">
        <f>L149/(N149+L149+J149+H149+F149)</f>
        <v/>
      </c>
      <c r="N149" s="2" t="n">
        <v>968</v>
      </c>
      <c r="O149" s="13">
        <f>N149/(N149+L149+J149+H149+F149)</f>
        <v/>
      </c>
    </row>
    <row r="150">
      <c r="A150" s="2" t="inlineStr">
        <is>
          <t>CARA-CARA</t>
        </is>
      </c>
      <c r="B150" s="6" t="n">
        <v>44299</v>
      </c>
      <c r="C150" s="11" t="inlineStr">
        <is>
          <t>9</t>
        </is>
      </c>
      <c r="D150" s="9">
        <f>E150*16</f>
        <v/>
      </c>
      <c r="E150" s="9" t="n">
        <v>50</v>
      </c>
      <c r="F150" s="9" t="n">
        <v>915</v>
      </c>
      <c r="G150" s="4" t="n">
        <v>0.79565</v>
      </c>
      <c r="H150" s="9" t="n">
        <v>86</v>
      </c>
      <c r="I150" s="4" t="n">
        <v>0.07478</v>
      </c>
      <c r="J150" s="9" t="n">
        <v>0</v>
      </c>
      <c r="K150" s="4" t="n">
        <v>0</v>
      </c>
      <c r="L150" s="2" t="n">
        <v>23</v>
      </c>
      <c r="M150" s="13">
        <f>L150/(N150+L150+J150+H150+F150)</f>
        <v/>
      </c>
      <c r="N150" s="2" t="n">
        <v>126</v>
      </c>
      <c r="O150" s="13">
        <f>N150/(N150+L150+J150+H150+F150)</f>
        <v/>
      </c>
    </row>
    <row r="151">
      <c r="A151" s="2" t="inlineStr">
        <is>
          <t>CARA-CARA</t>
        </is>
      </c>
      <c r="B151" s="6" t="n">
        <v>44281</v>
      </c>
      <c r="C151" s="11" t="inlineStr">
        <is>
          <t>9</t>
        </is>
      </c>
      <c r="D151" s="9">
        <f>E151*16</f>
        <v/>
      </c>
      <c r="E151" s="9" t="n">
        <v>100</v>
      </c>
      <c r="F151" s="9" t="n">
        <v>1721</v>
      </c>
      <c r="G151" s="4" t="n">
        <v>0.74826</v>
      </c>
      <c r="H151" s="9" t="n">
        <v>171</v>
      </c>
      <c r="I151" s="4" t="n">
        <v>0.07435</v>
      </c>
      <c r="J151" s="9" t="n">
        <v>0</v>
      </c>
      <c r="K151" s="4" t="n">
        <v>0</v>
      </c>
      <c r="L151" s="2" t="n">
        <v>46</v>
      </c>
      <c r="M151" s="13">
        <f>L151/(N151+L151+J151+H151+F151)</f>
        <v/>
      </c>
      <c r="N151" s="2" t="n">
        <v>362</v>
      </c>
      <c r="O151" s="13">
        <f>N151/(N151+L151+J151+H151+F151)</f>
        <v/>
      </c>
    </row>
    <row r="152">
      <c r="A152" s="2" t="inlineStr">
        <is>
          <t>CARA-CARA</t>
        </is>
      </c>
      <c r="B152" s="6" t="n">
        <v>44250</v>
      </c>
      <c r="C152" s="11" t="inlineStr">
        <is>
          <t>9</t>
        </is>
      </c>
      <c r="D152" s="9">
        <f>E152*16</f>
        <v/>
      </c>
      <c r="E152" s="9" t="n">
        <v>100</v>
      </c>
      <c r="F152" s="9" t="n">
        <v>2007</v>
      </c>
      <c r="G152" s="4" t="n">
        <v>0.87261</v>
      </c>
      <c r="H152" s="9" t="n">
        <v>211</v>
      </c>
      <c r="I152" s="4" t="n">
        <v>0.09174</v>
      </c>
      <c r="J152" s="9" t="n">
        <v>0</v>
      </c>
      <c r="K152" s="4" t="n">
        <v>0</v>
      </c>
      <c r="L152" s="2" t="n">
        <v>46</v>
      </c>
      <c r="M152" s="13">
        <f>L152/(N152+L152+J152+H152+F152)</f>
        <v/>
      </c>
      <c r="N152" s="2" t="n">
        <v>36</v>
      </c>
      <c r="O152" s="13">
        <f>N152/(N152+L152+J152+H152+F152)</f>
        <v/>
      </c>
    </row>
    <row r="153">
      <c r="A153" s="2" t="inlineStr">
        <is>
          <t>LEMONS</t>
        </is>
      </c>
      <c r="B153" s="6" t="n">
        <v>43879</v>
      </c>
      <c r="C153" s="11" t="inlineStr">
        <is>
          <t>12</t>
        </is>
      </c>
      <c r="D153" s="9">
        <f>E153*16</f>
        <v/>
      </c>
      <c r="E153" s="9" t="n">
        <v>280.5</v>
      </c>
      <c r="F153" s="9" t="n">
        <v>3496</v>
      </c>
      <c r="G153" s="4" t="n">
        <v>0.56652</v>
      </c>
      <c r="H153" s="9" t="n">
        <v>1375</v>
      </c>
      <c r="I153" s="4" t="n">
        <v>0.22282</v>
      </c>
      <c r="J153" s="9" t="n">
        <v>0</v>
      </c>
      <c r="K153" s="4" t="n">
        <v>0</v>
      </c>
      <c r="L153" s="2" t="n">
        <v>123</v>
      </c>
      <c r="M153" s="13">
        <f>L153/(N153+L153+J153+H153+F153)</f>
        <v/>
      </c>
      <c r="N153" s="2" t="n">
        <v>1177</v>
      </c>
      <c r="O153" s="13">
        <f>N153/(N153+L153+J153+H153+F153)</f>
        <v/>
      </c>
    </row>
    <row r="154">
      <c r="A154" s="2" t="inlineStr">
        <is>
          <t>LEMONS</t>
        </is>
      </c>
      <c r="B154" s="6" t="n">
        <v>43878</v>
      </c>
      <c r="C154" s="11" t="inlineStr">
        <is>
          <t>12</t>
        </is>
      </c>
      <c r="D154" s="9">
        <f>E154*16</f>
        <v/>
      </c>
      <c r="E154" s="9" t="n">
        <v>288</v>
      </c>
      <c r="F154" s="9" t="n">
        <v>3348</v>
      </c>
      <c r="G154" s="4" t="n">
        <v>0.52841</v>
      </c>
      <c r="H154" s="9" t="n">
        <v>1327</v>
      </c>
      <c r="I154" s="4" t="n">
        <v>0.20944</v>
      </c>
      <c r="J154" s="9" t="n">
        <v>0</v>
      </c>
      <c r="K154" s="4" t="n">
        <v>0</v>
      </c>
      <c r="L154" s="2" t="n">
        <v>127</v>
      </c>
      <c r="M154" s="13">
        <f>L154/(N154+L154+J154+H154+F154)</f>
        <v/>
      </c>
      <c r="N154" s="2" t="n">
        <v>1534</v>
      </c>
      <c r="O154" s="13">
        <f>N154/(N154+L154+J154+H154+F154)</f>
        <v/>
      </c>
    </row>
    <row r="155">
      <c r="A155" s="2" t="inlineStr">
        <is>
          <t>LEMONS</t>
        </is>
      </c>
      <c r="B155" s="6" t="n">
        <v>43809</v>
      </c>
      <c r="C155" s="11" t="inlineStr">
        <is>
          <t>12</t>
        </is>
      </c>
      <c r="D155" s="9">
        <f>E155*16</f>
        <v/>
      </c>
      <c r="E155" s="9" t="n">
        <v>300</v>
      </c>
      <c r="F155" s="9" t="n">
        <v>3498</v>
      </c>
      <c r="G155" s="4" t="n">
        <v>0.53016</v>
      </c>
      <c r="H155" s="9" t="n">
        <v>1385</v>
      </c>
      <c r="I155" s="4" t="n">
        <v>0.20991</v>
      </c>
      <c r="J155" s="9" t="n">
        <v>0</v>
      </c>
      <c r="K155" s="4" t="n">
        <v>0</v>
      </c>
      <c r="L155" s="2" t="n">
        <v>132</v>
      </c>
      <c r="M155" s="13">
        <f>L155/(N155+L155+J155+H155+F155)</f>
        <v/>
      </c>
      <c r="N155" s="2" t="n">
        <v>1583</v>
      </c>
      <c r="O155" s="13">
        <f>N155/(N155+L155+J155+H155+F155)</f>
        <v/>
      </c>
    </row>
    <row r="156">
      <c r="A156" s="2" t="inlineStr">
        <is>
          <t>MURCOTTS</t>
        </is>
      </c>
      <c r="B156" s="6" t="n">
        <v>43924</v>
      </c>
      <c r="C156" s="11" t="inlineStr">
        <is>
          <t>2A</t>
        </is>
      </c>
      <c r="D156" s="9">
        <f>E156*16</f>
        <v/>
      </c>
      <c r="E156" s="9" t="n">
        <v>10.25</v>
      </c>
      <c r="F156" s="9" t="n">
        <v>1527</v>
      </c>
      <c r="G156" s="4" t="n">
        <v>0.85883</v>
      </c>
      <c r="H156" s="9" t="n">
        <v>0</v>
      </c>
      <c r="I156" s="4" t="n">
        <v>0</v>
      </c>
      <c r="J156" s="9" t="n">
        <v>0</v>
      </c>
      <c r="K156" s="4" t="n">
        <v>0</v>
      </c>
      <c r="L156" s="2" t="n">
        <v>36</v>
      </c>
      <c r="M156" s="13">
        <f>L156/(N156+L156+J156+H156+F156)</f>
        <v/>
      </c>
      <c r="N156" s="2" t="n">
        <v>215</v>
      </c>
      <c r="O156" s="13">
        <f>N156/(N156+L156+J156+H156+F156)</f>
        <v/>
      </c>
    </row>
    <row r="157">
      <c r="A157" s="2" t="inlineStr">
        <is>
          <t>CLEMENTINES</t>
        </is>
      </c>
      <c r="B157" s="6" t="n">
        <v>43822</v>
      </c>
      <c r="C157" s="11" t="inlineStr">
        <is>
          <t>2B</t>
        </is>
      </c>
      <c r="D157" s="9">
        <f>E157*16</f>
        <v/>
      </c>
      <c r="E157" s="9" t="n">
        <v>9.25</v>
      </c>
      <c r="F157" s="9" t="n">
        <v>1316</v>
      </c>
      <c r="G157" s="4" t="n">
        <v>0.81994</v>
      </c>
      <c r="H157" s="9" t="n">
        <v>0</v>
      </c>
      <c r="I157" s="4" t="n">
        <v>0</v>
      </c>
      <c r="J157" s="9" t="n">
        <v>0</v>
      </c>
      <c r="K157" s="4" t="n">
        <v>0</v>
      </c>
      <c r="L157" s="2" t="n">
        <v>32</v>
      </c>
      <c r="M157" s="13">
        <f>L157/(N157+L157+J157+H157+F157)</f>
        <v/>
      </c>
      <c r="N157" s="2" t="n">
        <v>257</v>
      </c>
      <c r="O157" s="13">
        <f>N157/(N157+L157+J157+H157+F157)</f>
        <v/>
      </c>
    </row>
    <row r="158">
      <c r="A158" s="2" t="inlineStr">
        <is>
          <t>CLEMENTINES</t>
        </is>
      </c>
      <c r="B158" s="6" t="n">
        <v>43820</v>
      </c>
      <c r="C158" s="11" t="inlineStr">
        <is>
          <t>2B</t>
        </is>
      </c>
      <c r="D158" s="9">
        <f>E158*16</f>
        <v/>
      </c>
      <c r="E158" s="9" t="n">
        <v>41</v>
      </c>
      <c r="F158" s="9" t="n">
        <v>6060</v>
      </c>
      <c r="G158" s="4" t="n">
        <v>0.8519600000000001</v>
      </c>
      <c r="H158" s="9" t="n">
        <v>0</v>
      </c>
      <c r="I158" s="4" t="n">
        <v>0</v>
      </c>
      <c r="J158" s="9" t="n">
        <v>0</v>
      </c>
      <c r="K158" s="4" t="n">
        <v>0</v>
      </c>
      <c r="L158" s="2" t="n">
        <v>142</v>
      </c>
      <c r="M158" s="13">
        <f>L158/(N158+L158+J158+H158+F158)</f>
        <v/>
      </c>
      <c r="N158" s="2" t="n">
        <v>911</v>
      </c>
      <c r="O158" s="13">
        <f>N158/(N158+L158+J158+H158+F158)</f>
        <v/>
      </c>
    </row>
    <row r="159">
      <c r="A159" s="2" t="inlineStr">
        <is>
          <t>CLEMENTINES</t>
        </is>
      </c>
      <c r="B159" s="6" t="n">
        <v>43795</v>
      </c>
      <c r="C159" s="11" t="inlineStr">
        <is>
          <t>2B</t>
        </is>
      </c>
      <c r="D159" s="9">
        <f>E159*16</f>
        <v/>
      </c>
      <c r="E159" s="9" t="n">
        <v>66</v>
      </c>
      <c r="F159" s="9" t="n">
        <v>9841</v>
      </c>
      <c r="G159" s="4" t="n">
        <v>0.8594000000000001</v>
      </c>
      <c r="H159" s="9" t="n">
        <v>0</v>
      </c>
      <c r="I159" s="4" t="n">
        <v>0</v>
      </c>
      <c r="J159" s="9" t="n">
        <v>0</v>
      </c>
      <c r="K159" s="4" t="n">
        <v>0</v>
      </c>
      <c r="L159" s="2" t="n">
        <v>229</v>
      </c>
      <c r="M159" s="13">
        <f>L159/(N159+L159+J159+H159+F159)</f>
        <v/>
      </c>
      <c r="N159" s="2" t="n">
        <v>1381</v>
      </c>
      <c r="O159" s="13">
        <f>N159/(N159+L159+J159+H159+F159)</f>
        <v/>
      </c>
    </row>
    <row r="160">
      <c r="A160" s="2" t="inlineStr">
        <is>
          <t>NAVEL</t>
        </is>
      </c>
      <c r="B160" s="6" t="n">
        <v>43969</v>
      </c>
      <c r="C160" s="11" t="inlineStr">
        <is>
          <t>10</t>
        </is>
      </c>
      <c r="D160" s="9">
        <f>E160*16</f>
        <v/>
      </c>
      <c r="E160" s="9" t="n">
        <v>63.75</v>
      </c>
      <c r="F160" s="9" t="n">
        <v>564</v>
      </c>
      <c r="G160" s="4" t="n">
        <v>0.38446</v>
      </c>
      <c r="H160" s="9" t="n">
        <v>457</v>
      </c>
      <c r="I160" s="4" t="n">
        <v>0.31152</v>
      </c>
      <c r="J160" s="9" t="n">
        <v>0</v>
      </c>
      <c r="K160" s="4" t="n">
        <v>0</v>
      </c>
      <c r="L160" s="2" t="n">
        <v>29</v>
      </c>
      <c r="M160" s="13">
        <f>L160/(N160+L160+J160+H160+F160)</f>
        <v/>
      </c>
      <c r="N160" s="2" t="n">
        <v>417</v>
      </c>
      <c r="O160" s="13">
        <f>N160/(N160+L160+J160+H160+F160)</f>
        <v/>
      </c>
    </row>
    <row r="161">
      <c r="A161" s="2" t="inlineStr">
        <is>
          <t>NAVEL</t>
        </is>
      </c>
      <c r="B161" s="6" t="n">
        <v>43967</v>
      </c>
      <c r="C161" s="11" t="inlineStr">
        <is>
          <t>10</t>
        </is>
      </c>
      <c r="D161" s="9">
        <f>E161*16</f>
        <v/>
      </c>
      <c r="E161" s="9" t="n">
        <v>349</v>
      </c>
      <c r="F161" s="9" t="n">
        <v>4003</v>
      </c>
      <c r="G161" s="4" t="n">
        <v>0.49863</v>
      </c>
      <c r="H161" s="9" t="n">
        <v>1889</v>
      </c>
      <c r="I161" s="4" t="n">
        <v>0.2353</v>
      </c>
      <c r="J161" s="9" t="n">
        <v>0</v>
      </c>
      <c r="K161" s="4" t="n">
        <v>0</v>
      </c>
      <c r="L161" s="2" t="n">
        <v>161</v>
      </c>
      <c r="M161" s="13">
        <f>L161/(N161+L161+J161+H161+F161)</f>
        <v/>
      </c>
      <c r="N161" s="2" t="n">
        <v>1975</v>
      </c>
      <c r="O161" s="13">
        <f>N161/(N161+L161+J161+H161+F161)</f>
        <v/>
      </c>
    </row>
    <row r="162">
      <c r="A162" s="2" t="inlineStr">
        <is>
          <t>NAVEL</t>
        </is>
      </c>
      <c r="B162" s="6" t="n">
        <v>43939</v>
      </c>
      <c r="C162" s="11" t="inlineStr">
        <is>
          <t>3</t>
        </is>
      </c>
      <c r="D162" s="9">
        <f>E162*16</f>
        <v/>
      </c>
      <c r="E162" s="9" t="n">
        <v>101</v>
      </c>
      <c r="F162" s="9" t="n">
        <v>1450</v>
      </c>
      <c r="G162" s="4" t="n">
        <v>0.62419</v>
      </c>
      <c r="H162" s="9" t="n">
        <v>526</v>
      </c>
      <c r="I162" s="4" t="n">
        <v>0.22643</v>
      </c>
      <c r="J162" s="9" t="n">
        <v>0</v>
      </c>
      <c r="K162" s="4" t="n">
        <v>0</v>
      </c>
      <c r="L162" s="2" t="n">
        <v>46</v>
      </c>
      <c r="M162" s="13">
        <f>L162/(N162+L162+J162+H162+F162)</f>
        <v/>
      </c>
      <c r="N162" s="2" t="n">
        <v>301</v>
      </c>
      <c r="O162" s="13">
        <f>N162/(N162+L162+J162+H162+F162)</f>
        <v/>
      </c>
    </row>
    <row r="163">
      <c r="A163" s="2" t="inlineStr">
        <is>
          <t>NAVEL</t>
        </is>
      </c>
      <c r="B163" s="6" t="n">
        <v>43938</v>
      </c>
      <c r="C163" s="11" t="inlineStr">
        <is>
          <t>3</t>
        </is>
      </c>
      <c r="D163" s="9">
        <f>E163*16</f>
        <v/>
      </c>
      <c r="E163" s="9" t="n">
        <v>200</v>
      </c>
      <c r="F163" s="9" t="n">
        <v>3029</v>
      </c>
      <c r="G163" s="4" t="n">
        <v>0.65848</v>
      </c>
      <c r="H163" s="9" t="n">
        <v>602</v>
      </c>
      <c r="I163" s="4" t="n">
        <v>0.13087</v>
      </c>
      <c r="J163" s="9" t="n">
        <v>0</v>
      </c>
      <c r="K163" s="4" t="n">
        <v>0</v>
      </c>
      <c r="L163" s="2" t="n">
        <v>92</v>
      </c>
      <c r="M163" s="13">
        <f>L163/(N163+L163+J163+H163+F163)</f>
        <v/>
      </c>
      <c r="N163" s="2" t="n">
        <v>877</v>
      </c>
      <c r="O163" s="13">
        <f>N163/(N163+L163+J163+H163+F163)</f>
        <v/>
      </c>
    </row>
    <row r="164">
      <c r="A164" s="2" t="inlineStr">
        <is>
          <t>NAVEL</t>
        </is>
      </c>
      <c r="B164" s="6" t="n">
        <v>43888</v>
      </c>
      <c r="C164" s="11" t="inlineStr">
        <is>
          <t>3</t>
        </is>
      </c>
      <c r="D164" s="9">
        <f>E164*16</f>
        <v/>
      </c>
      <c r="E164" s="9" t="n">
        <v>289</v>
      </c>
      <c r="F164" s="9" t="n">
        <v>3844</v>
      </c>
      <c r="G164" s="4" t="n">
        <v>0.57831</v>
      </c>
      <c r="H164" s="9" t="n">
        <v>1548</v>
      </c>
      <c r="I164" s="4" t="n">
        <v>0.23289</v>
      </c>
      <c r="J164" s="9" t="n">
        <v>0</v>
      </c>
      <c r="K164" s="4" t="n">
        <v>0</v>
      </c>
      <c r="L164" s="2" t="n">
        <v>133</v>
      </c>
      <c r="M164" s="13">
        <f>L164/(N164+L164+J164+H164+F164)</f>
        <v/>
      </c>
      <c r="N164" s="2" t="n">
        <v>1122</v>
      </c>
      <c r="O164" s="13">
        <f>N164/(N164+L164+J164+H164+F164)</f>
        <v/>
      </c>
    </row>
    <row r="165">
      <c r="A165" s="2" t="inlineStr">
        <is>
          <t>VALENCIA</t>
        </is>
      </c>
      <c r="B165" s="6" t="n">
        <v>44111</v>
      </c>
      <c r="C165" s="11" t="inlineStr">
        <is>
          <t>5</t>
        </is>
      </c>
      <c r="D165" s="9">
        <f>E165*16</f>
        <v/>
      </c>
      <c r="E165" s="9" t="n">
        <v>195</v>
      </c>
      <c r="F165" s="9" t="n">
        <v>2410</v>
      </c>
      <c r="G165" s="4" t="n">
        <v>0.53735</v>
      </c>
      <c r="H165" s="9" t="n">
        <v>506</v>
      </c>
      <c r="I165" s="4" t="n">
        <v>0.11282</v>
      </c>
      <c r="J165" s="9" t="n">
        <v>0</v>
      </c>
      <c r="K165" s="4" t="n">
        <v>0</v>
      </c>
      <c r="L165" s="2" t="n">
        <v>115</v>
      </c>
      <c r="M165" s="13">
        <f>L165/(N165+L165+J165+H165+F165)</f>
        <v/>
      </c>
      <c r="N165" s="2" t="n">
        <v>1454</v>
      </c>
      <c r="O165" s="13">
        <f>N165/(N165+L165+J165+H165+F165)</f>
        <v/>
      </c>
    </row>
    <row r="166">
      <c r="A166" s="2" t="inlineStr">
        <is>
          <t>VALENCIA</t>
        </is>
      </c>
      <c r="B166" s="6" t="n">
        <v>44032</v>
      </c>
      <c r="C166" s="11" t="inlineStr">
        <is>
          <t>5</t>
        </is>
      </c>
      <c r="D166" s="9">
        <f>E166*16</f>
        <v/>
      </c>
      <c r="E166" s="9" t="n">
        <v>16</v>
      </c>
      <c r="F166" s="9" t="n">
        <v>160</v>
      </c>
      <c r="G166" s="4" t="n">
        <v>0.43478</v>
      </c>
      <c r="H166" s="9" t="n">
        <v>59</v>
      </c>
      <c r="I166" s="4" t="n">
        <v>0.16033</v>
      </c>
      <c r="J166" s="9" t="n">
        <v>0</v>
      </c>
      <c r="K166" s="4" t="n">
        <v>0</v>
      </c>
      <c r="L166" s="2" t="n">
        <v>0</v>
      </c>
      <c r="M166" s="13">
        <f>L166/(N166+L166+J166+H166+F166)</f>
        <v/>
      </c>
      <c r="N166" s="2" t="n">
        <v>149</v>
      </c>
      <c r="O166" s="13">
        <f>N166/(N166+L166+J166+H166+F166)</f>
        <v/>
      </c>
    </row>
    <row r="167">
      <c r="A167" s="2" t="inlineStr">
        <is>
          <t>NAVEL</t>
        </is>
      </c>
      <c r="B167" s="6" t="n">
        <v>43973</v>
      </c>
      <c r="C167" s="11" t="inlineStr">
        <is>
          <t>8</t>
        </is>
      </c>
      <c r="D167" s="9">
        <f>E167*16</f>
        <v/>
      </c>
      <c r="E167" s="9" t="n">
        <v>94</v>
      </c>
      <c r="F167" s="9" t="n">
        <v>1370</v>
      </c>
      <c r="G167" s="4" t="n">
        <v>0.63367</v>
      </c>
      <c r="H167" s="9" t="n">
        <v>601</v>
      </c>
      <c r="I167" s="4" t="n">
        <v>0.27798</v>
      </c>
      <c r="J167" s="9" t="n">
        <v>0</v>
      </c>
      <c r="K167" s="4" t="n">
        <v>0</v>
      </c>
      <c r="L167" s="2" t="n">
        <v>43</v>
      </c>
      <c r="M167" s="13">
        <f>L167/(N167+L167+J167+H167+F167)</f>
        <v/>
      </c>
      <c r="N167" s="2" t="n">
        <v>148</v>
      </c>
      <c r="O167" s="13">
        <f>N167/(N167+L167+J167+H167+F167)</f>
        <v/>
      </c>
    </row>
    <row r="168">
      <c r="A168" s="2" t="inlineStr">
        <is>
          <t>NAVEL</t>
        </is>
      </c>
      <c r="B168" s="6" t="n">
        <v>43972</v>
      </c>
      <c r="C168" s="11" t="inlineStr">
        <is>
          <t>8</t>
        </is>
      </c>
      <c r="D168" s="9">
        <f>E168*16</f>
        <v/>
      </c>
      <c r="E168" s="9" t="n">
        <v>145</v>
      </c>
      <c r="F168" s="9" t="n">
        <v>1949</v>
      </c>
      <c r="G168" s="4" t="n">
        <v>0.58441</v>
      </c>
      <c r="H168" s="9" t="n">
        <v>1028</v>
      </c>
      <c r="I168" s="4" t="n">
        <v>0.30825</v>
      </c>
      <c r="J168" s="9" t="n">
        <v>0</v>
      </c>
      <c r="K168" s="4" t="n">
        <v>0</v>
      </c>
      <c r="L168" s="2" t="n">
        <v>67</v>
      </c>
      <c r="M168" s="13">
        <f>L168/(N168+L168+J168+H168+F168)</f>
        <v/>
      </c>
      <c r="N168" s="2" t="n">
        <v>291</v>
      </c>
      <c r="O168" s="13">
        <f>N168/(N168+L168+J168+H168+F168)</f>
        <v/>
      </c>
    </row>
    <row r="169">
      <c r="A169" s="2" t="inlineStr">
        <is>
          <t>NAVEL</t>
        </is>
      </c>
      <c r="B169" s="6" t="n">
        <v>43969</v>
      </c>
      <c r="C169" s="11" t="inlineStr">
        <is>
          <t>8</t>
        </is>
      </c>
      <c r="D169" s="9">
        <f>E169*16</f>
        <v/>
      </c>
      <c r="E169" s="9" t="n">
        <v>225</v>
      </c>
      <c r="F169" s="9" t="n">
        <v>1844</v>
      </c>
      <c r="G169" s="4" t="n">
        <v>0.3564</v>
      </c>
      <c r="H169" s="9" t="n">
        <v>1545</v>
      </c>
      <c r="I169" s="4" t="n">
        <v>0.29861</v>
      </c>
      <c r="J169" s="9" t="n">
        <v>0</v>
      </c>
      <c r="K169" s="4" t="n">
        <v>0</v>
      </c>
      <c r="L169" s="2" t="n">
        <v>104</v>
      </c>
      <c r="M169" s="13">
        <f>L169/(N169+L169+J169+H169+F169)</f>
        <v/>
      </c>
      <c r="N169" s="2" t="n">
        <v>1681</v>
      </c>
      <c r="O169" s="13">
        <f>N169/(N169+L169+J169+H169+F169)</f>
        <v/>
      </c>
    </row>
    <row r="170">
      <c r="A170" s="2" t="inlineStr">
        <is>
          <t>NAVEL</t>
        </is>
      </c>
      <c r="B170" s="6" t="n">
        <v>43957</v>
      </c>
      <c r="C170" s="11" t="inlineStr">
        <is>
          <t>8</t>
        </is>
      </c>
      <c r="D170" s="9">
        <f>E170*16</f>
        <v/>
      </c>
      <c r="E170" s="9" t="n">
        <v>150</v>
      </c>
      <c r="F170" s="9" t="n">
        <v>2141</v>
      </c>
      <c r="G170" s="4" t="n">
        <v>0.62058</v>
      </c>
      <c r="H170" s="9" t="n">
        <v>478</v>
      </c>
      <c r="I170" s="4" t="n">
        <v>0.13855</v>
      </c>
      <c r="J170" s="9" t="n">
        <v>0</v>
      </c>
      <c r="K170" s="4" t="n">
        <v>0</v>
      </c>
      <c r="L170" s="2" t="n">
        <v>69</v>
      </c>
      <c r="M170" s="13">
        <f>L170/(N170+L170+J170+H170+F170)</f>
        <v/>
      </c>
      <c r="N170" s="2" t="n">
        <v>762</v>
      </c>
      <c r="O170" s="13">
        <f>N170/(N170+L170+J170+H170+F170)</f>
        <v/>
      </c>
    </row>
    <row r="171">
      <c r="A171" s="2" t="inlineStr">
        <is>
          <t>CARA-CARA</t>
        </is>
      </c>
      <c r="B171" s="6" t="n">
        <v>43937</v>
      </c>
      <c r="C171" s="11" t="inlineStr">
        <is>
          <t>9</t>
        </is>
      </c>
      <c r="D171" s="9">
        <f>E171*16</f>
        <v/>
      </c>
      <c r="E171" s="9" t="n">
        <v>174.5</v>
      </c>
      <c r="F171" s="9" t="n">
        <v>3010</v>
      </c>
      <c r="G171" s="4" t="n">
        <v>0.7500599999999999</v>
      </c>
      <c r="H171" s="9" t="n">
        <v>540</v>
      </c>
      <c r="I171" s="4" t="n">
        <v>0.13456</v>
      </c>
      <c r="J171" s="9" t="n">
        <v>0</v>
      </c>
      <c r="K171" s="4" t="n">
        <v>0</v>
      </c>
      <c r="L171" s="2" t="n">
        <v>80</v>
      </c>
      <c r="M171" s="13">
        <f>L171/(N171+L171+J171+H171+F171)</f>
        <v/>
      </c>
      <c r="N171" s="2" t="n">
        <v>383</v>
      </c>
      <c r="O171" s="13">
        <f>N171/(N171+L171+J171+H171+F171)</f>
        <v/>
      </c>
    </row>
    <row r="172">
      <c r="A172" s="2" t="inlineStr">
        <is>
          <t>CARA-CARA</t>
        </is>
      </c>
      <c r="B172" s="6" t="n">
        <v>43935</v>
      </c>
      <c r="C172" s="11" t="inlineStr">
        <is>
          <t>9</t>
        </is>
      </c>
      <c r="D172" s="9">
        <f>E172*16</f>
        <v/>
      </c>
      <c r="E172" s="9" t="n">
        <v>100</v>
      </c>
      <c r="F172" s="9" t="n">
        <v>1900</v>
      </c>
      <c r="G172" s="4" t="n">
        <v>0.82394</v>
      </c>
      <c r="H172" s="9" t="n">
        <v>360</v>
      </c>
      <c r="I172" s="4" t="n">
        <v>0.15611</v>
      </c>
      <c r="J172" s="9" t="n">
        <v>0</v>
      </c>
      <c r="K172" s="4" t="n">
        <v>0</v>
      </c>
      <c r="L172" s="2" t="n">
        <v>46</v>
      </c>
      <c r="M172" s="13">
        <f>L172/(N172+L172+J172+H172+F172)</f>
        <v/>
      </c>
      <c r="N172" s="2" t="n">
        <v>0</v>
      </c>
      <c r="O172" s="13">
        <f>N172/(N172+L172+J172+H172+F172)</f>
        <v/>
      </c>
    </row>
    <row r="173">
      <c r="A173" s="2" t="inlineStr">
        <is>
          <t>CARA-CARA</t>
        </is>
      </c>
      <c r="B173" s="6" t="n">
        <v>43934</v>
      </c>
      <c r="C173" s="11" t="inlineStr">
        <is>
          <t>9</t>
        </is>
      </c>
      <c r="D173" s="9">
        <f>E173*16</f>
        <v/>
      </c>
      <c r="E173" s="9" t="n">
        <v>50</v>
      </c>
      <c r="F173" s="9" t="n">
        <v>1000</v>
      </c>
      <c r="G173" s="4" t="n">
        <v>0.86881</v>
      </c>
      <c r="H173" s="9" t="n">
        <v>128</v>
      </c>
      <c r="I173" s="4" t="n">
        <v>0.11121</v>
      </c>
      <c r="J173" s="9" t="n">
        <v>0</v>
      </c>
      <c r="K173" s="4" t="n">
        <v>0</v>
      </c>
      <c r="L173" s="2" t="n">
        <v>23</v>
      </c>
      <c r="M173" s="13">
        <f>L173/(N173+L173+J173+H173+F173)</f>
        <v/>
      </c>
      <c r="N173" s="2" t="n">
        <v>0</v>
      </c>
      <c r="O173" s="13">
        <f>N173/(N173+L173+J173+H173+F173)</f>
        <v/>
      </c>
    </row>
    <row r="174">
      <c r="A174" s="2" t="inlineStr">
        <is>
          <t>CARA-CARA</t>
        </is>
      </c>
      <c r="B174" s="6" t="n">
        <v>43881</v>
      </c>
      <c r="C174" s="11" t="inlineStr">
        <is>
          <t>9</t>
        </is>
      </c>
      <c r="D174" s="9">
        <f>E174*16</f>
        <v/>
      </c>
      <c r="E174" s="9" t="n">
        <v>200</v>
      </c>
      <c r="F174" s="9" t="n">
        <v>3420</v>
      </c>
      <c r="G174" s="4" t="n">
        <v>0.74348</v>
      </c>
      <c r="H174" s="9" t="n">
        <v>580</v>
      </c>
      <c r="I174" s="4" t="n">
        <v>0.12609</v>
      </c>
      <c r="J174" s="9" t="n">
        <v>0</v>
      </c>
      <c r="K174" s="4" t="n">
        <v>0</v>
      </c>
      <c r="L174" s="2" t="n">
        <v>92</v>
      </c>
      <c r="M174" s="13">
        <f>L174/(N174+L174+J174+H174+F174)</f>
        <v/>
      </c>
      <c r="N174" s="2" t="n">
        <v>508</v>
      </c>
      <c r="O174" s="13">
        <f>N174/(N174+L174+J174+H174+F174)</f>
        <v/>
      </c>
    </row>
    <row r="175">
      <c r="A175" s="2" t="inlineStr">
        <is>
          <t>CARA-CARA</t>
        </is>
      </c>
      <c r="B175" s="6" t="n">
        <v>43847</v>
      </c>
      <c r="C175" s="11" t="inlineStr">
        <is>
          <t>9</t>
        </is>
      </c>
      <c r="D175" s="9">
        <f>E175*16</f>
        <v/>
      </c>
      <c r="E175" s="9" t="n">
        <v>100</v>
      </c>
      <c r="F175" s="9" t="n">
        <v>1820</v>
      </c>
      <c r="G175" s="4" t="n">
        <v>0.7913</v>
      </c>
      <c r="H175" s="9" t="n">
        <v>325</v>
      </c>
      <c r="I175" s="4" t="n">
        <v>0.1413</v>
      </c>
      <c r="J175" s="9" t="n">
        <v>0</v>
      </c>
      <c r="K175" s="4" t="n">
        <v>0</v>
      </c>
      <c r="L175" s="2" t="n">
        <v>46</v>
      </c>
      <c r="M175" s="13">
        <f>L175/(N175+L175+J175+H175+F175)</f>
        <v/>
      </c>
      <c r="N175" s="2" t="n">
        <v>109</v>
      </c>
      <c r="O175" s="13">
        <f>N175/(N175+L175+J175+H175+F175)</f>
        <v/>
      </c>
    </row>
    <row r="176">
      <c r="A176" s="2" t="inlineStr">
        <is>
          <t>NAVEL</t>
        </is>
      </c>
      <c r="B176" s="6" t="n">
        <v>43605</v>
      </c>
      <c r="C176" s="11" t="inlineStr">
        <is>
          <t>10</t>
        </is>
      </c>
      <c r="D176" s="9">
        <f>E176*16</f>
        <v/>
      </c>
      <c r="E176" s="9" t="n">
        <v>200</v>
      </c>
      <c r="F176" s="9" t="n">
        <v>2102</v>
      </c>
      <c r="G176" s="4" t="n">
        <v>0.45696</v>
      </c>
      <c r="H176" s="9" t="n">
        <v>973</v>
      </c>
      <c r="I176" s="4" t="n">
        <v>0.21152</v>
      </c>
      <c r="J176" s="9" t="n">
        <v>0</v>
      </c>
      <c r="K176" s="4" t="n">
        <v>0</v>
      </c>
      <c r="L176" s="2" t="n">
        <v>92</v>
      </c>
      <c r="M176" s="13">
        <f>L176/(N176+L176+J176+H176+F176)</f>
        <v/>
      </c>
      <c r="N176" s="2" t="n">
        <v>1433</v>
      </c>
      <c r="O176" s="13">
        <f>N176/(N176+L176+J176+H176+F176)</f>
        <v/>
      </c>
    </row>
    <row r="177">
      <c r="A177" s="2" t="inlineStr">
        <is>
          <t>NAVEL</t>
        </is>
      </c>
      <c r="B177" s="6" t="n">
        <v>43605</v>
      </c>
      <c r="C177" s="11" t="inlineStr">
        <is>
          <t>10</t>
        </is>
      </c>
      <c r="D177" s="9">
        <f>E177*16</f>
        <v/>
      </c>
      <c r="E177" s="9" t="n">
        <v>3</v>
      </c>
      <c r="F177" s="9" t="n">
        <v>30</v>
      </c>
      <c r="G177" s="4" t="n">
        <v>0.43478</v>
      </c>
      <c r="H177" s="9" t="n">
        <v>17</v>
      </c>
      <c r="I177" s="4" t="n">
        <v>0.24638</v>
      </c>
      <c r="J177" s="9" t="n">
        <v>0</v>
      </c>
      <c r="K177" s="4" t="n">
        <v>0</v>
      </c>
      <c r="L177" s="2" t="n">
        <v>1</v>
      </c>
      <c r="M177" s="13">
        <f>L177/(N177+L177+J177+H177+F177)</f>
        <v/>
      </c>
      <c r="N177" s="2" t="n">
        <v>21</v>
      </c>
      <c r="O177" s="13">
        <f>N177/(N177+L177+J177+H177+F177)</f>
        <v/>
      </c>
    </row>
    <row r="178">
      <c r="A178" s="2" t="inlineStr">
        <is>
          <t>LEMONS</t>
        </is>
      </c>
      <c r="B178" s="6" t="n">
        <v>43523</v>
      </c>
      <c r="C178" s="11" t="inlineStr">
        <is>
          <t>12</t>
        </is>
      </c>
      <c r="D178" s="9">
        <f>E178*16</f>
        <v/>
      </c>
      <c r="E178" s="9" t="n">
        <v>154.5</v>
      </c>
      <c r="F178" s="9" t="n">
        <v>1721</v>
      </c>
      <c r="G178" s="4" t="n">
        <v>0.5063299999999999</v>
      </c>
      <c r="H178" s="9" t="n">
        <v>555</v>
      </c>
      <c r="I178" s="4" t="n">
        <v>0.16328</v>
      </c>
      <c r="J178" s="9" t="n">
        <v>0</v>
      </c>
      <c r="K178" s="4" t="n">
        <v>0</v>
      </c>
      <c r="L178" s="2" t="n">
        <v>68</v>
      </c>
      <c r="M178" s="13">
        <f>L178/(N178+L178+J178+H178+F178)</f>
        <v/>
      </c>
      <c r="N178" s="2" t="n">
        <v>1055</v>
      </c>
      <c r="O178" s="13">
        <f>N178/(N178+L178+J178+H178+F178)</f>
        <v/>
      </c>
    </row>
    <row r="179">
      <c r="A179" s="2" t="inlineStr">
        <is>
          <t>LEMONS</t>
        </is>
      </c>
      <c r="B179" s="6" t="n">
        <v>43522</v>
      </c>
      <c r="C179" s="11" t="inlineStr">
        <is>
          <t>12</t>
        </is>
      </c>
      <c r="D179" s="9">
        <f>E179*16</f>
        <v/>
      </c>
      <c r="E179" s="9" t="n">
        <v>144</v>
      </c>
      <c r="F179" s="9" t="n">
        <v>1699</v>
      </c>
      <c r="G179" s="4" t="n">
        <v>0.5363</v>
      </c>
      <c r="H179" s="9" t="n">
        <v>595</v>
      </c>
      <c r="I179" s="4" t="n">
        <v>0.18782</v>
      </c>
      <c r="J179" s="9" t="n">
        <v>0</v>
      </c>
      <c r="K179" s="4" t="n">
        <v>0</v>
      </c>
      <c r="L179" s="2" t="n">
        <v>63</v>
      </c>
      <c r="M179" s="13">
        <f>L179/(N179+L179+J179+H179+F179)</f>
        <v/>
      </c>
      <c r="N179" s="2" t="n">
        <v>811</v>
      </c>
      <c r="O179" s="13">
        <f>N179/(N179+L179+J179+H179+F179)</f>
        <v/>
      </c>
    </row>
    <row r="180">
      <c r="A180" s="2" t="inlineStr">
        <is>
          <t>LEMONS</t>
        </is>
      </c>
      <c r="B180" s="6" t="n">
        <v>43428</v>
      </c>
      <c r="C180" s="11" t="inlineStr">
        <is>
          <t>12</t>
        </is>
      </c>
      <c r="D180" s="9">
        <f>E180*16</f>
        <v/>
      </c>
      <c r="E180" s="9" t="n">
        <v>60</v>
      </c>
      <c r="F180" s="9" t="n">
        <v>885</v>
      </c>
      <c r="G180" s="4" t="n">
        <v>0.67045</v>
      </c>
      <c r="H180" s="9" t="n">
        <v>239</v>
      </c>
      <c r="I180" s="4" t="n">
        <v>0.18106</v>
      </c>
      <c r="J180" s="9" t="n">
        <v>0</v>
      </c>
      <c r="K180" s="4" t="n">
        <v>0</v>
      </c>
      <c r="L180" s="2" t="n">
        <v>26</v>
      </c>
      <c r="M180" s="13">
        <f>L180/(N180+L180+J180+H180+F180)</f>
        <v/>
      </c>
      <c r="N180" s="2" t="n">
        <v>170</v>
      </c>
      <c r="O180" s="13">
        <f>N180/(N180+L180+J180+H180+F180)</f>
        <v/>
      </c>
    </row>
    <row r="181">
      <c r="A181" s="2" t="inlineStr">
        <is>
          <t>LEMONS</t>
        </is>
      </c>
      <c r="B181" s="6" t="n">
        <v>43425</v>
      </c>
      <c r="C181" s="11" t="inlineStr">
        <is>
          <t>12</t>
        </is>
      </c>
      <c r="D181" s="9">
        <f>E181*16</f>
        <v/>
      </c>
      <c r="E181" s="9" t="n">
        <v>29</v>
      </c>
      <c r="F181" s="9" t="n">
        <v>452</v>
      </c>
      <c r="G181" s="4" t="n">
        <v>0.70846</v>
      </c>
      <c r="H181" s="9" t="n">
        <v>123</v>
      </c>
      <c r="I181" s="4" t="n">
        <v>0.19279</v>
      </c>
      <c r="J181" s="9" t="n">
        <v>0</v>
      </c>
      <c r="K181" s="4" t="n">
        <v>0</v>
      </c>
      <c r="L181" s="2" t="n">
        <v>13</v>
      </c>
      <c r="M181" s="13">
        <f>L181/(N181+L181+J181+H181+F181)</f>
        <v/>
      </c>
      <c r="N181" s="2" t="n">
        <v>50</v>
      </c>
      <c r="O181" s="13">
        <f>N181/(N181+L181+J181+H181+F181)</f>
        <v/>
      </c>
    </row>
    <row r="182">
      <c r="A182" s="2" t="inlineStr">
        <is>
          <t>LEMONS</t>
        </is>
      </c>
      <c r="B182" s="6" t="n">
        <v>43424</v>
      </c>
      <c r="C182" s="11" t="inlineStr">
        <is>
          <t>12</t>
        </is>
      </c>
      <c r="D182" s="9">
        <f>E182*16</f>
        <v/>
      </c>
      <c r="E182" s="9" t="n">
        <v>32.75</v>
      </c>
      <c r="F182" s="9" t="n">
        <v>484</v>
      </c>
      <c r="G182" s="4" t="n">
        <v>0.67222</v>
      </c>
      <c r="H182" s="9" t="n">
        <v>138</v>
      </c>
      <c r="I182" s="4" t="n">
        <v>0.19167</v>
      </c>
      <c r="J182" s="9" t="n">
        <v>0</v>
      </c>
      <c r="K182" s="4" t="n">
        <v>0</v>
      </c>
      <c r="L182" s="2" t="n">
        <v>14</v>
      </c>
      <c r="M182" s="13">
        <f>L182/(N182+L182+J182+H182+F182)</f>
        <v/>
      </c>
      <c r="N182" s="2" t="n">
        <v>84</v>
      </c>
      <c r="O182" s="13">
        <f>N182/(N182+L182+J182+H182+F182)</f>
        <v/>
      </c>
    </row>
    <row r="183">
      <c r="A183" s="2" t="inlineStr">
        <is>
          <t>LEMONS</t>
        </is>
      </c>
      <c r="B183" s="6" t="n">
        <v>43423</v>
      </c>
      <c r="C183" s="11" t="inlineStr">
        <is>
          <t>12</t>
        </is>
      </c>
      <c r="D183" s="9">
        <f>E183*16</f>
        <v/>
      </c>
      <c r="E183" s="9" t="n">
        <v>64</v>
      </c>
      <c r="F183" s="9" t="n">
        <v>929</v>
      </c>
      <c r="G183" s="4" t="n">
        <v>0.6598000000000001</v>
      </c>
      <c r="H183" s="9" t="n">
        <v>255</v>
      </c>
      <c r="I183" s="4" t="n">
        <v>0.18111</v>
      </c>
      <c r="J183" s="9" t="n">
        <v>0</v>
      </c>
      <c r="K183" s="4" t="n">
        <v>0</v>
      </c>
      <c r="L183" s="2" t="n">
        <v>28</v>
      </c>
      <c r="M183" s="13">
        <f>L183/(N183+L183+J183+H183+F183)</f>
        <v/>
      </c>
      <c r="N183" s="2" t="n">
        <v>196</v>
      </c>
      <c r="O183" s="13">
        <f>N183/(N183+L183+J183+H183+F183)</f>
        <v/>
      </c>
    </row>
    <row r="184">
      <c r="A184" s="2" t="inlineStr">
        <is>
          <t>LEMONS</t>
        </is>
      </c>
      <c r="B184" s="6" t="n">
        <v>43385</v>
      </c>
      <c r="C184" s="11" t="inlineStr">
        <is>
          <t>12</t>
        </is>
      </c>
      <c r="D184" s="9">
        <f>E184*16</f>
        <v/>
      </c>
      <c r="E184" s="9" t="n">
        <v>83</v>
      </c>
      <c r="F184" s="9" t="n">
        <v>1148</v>
      </c>
      <c r="G184" s="4" t="n">
        <v>0.6287</v>
      </c>
      <c r="H184" s="9" t="n">
        <v>630</v>
      </c>
      <c r="I184" s="4" t="n">
        <v>0.34502</v>
      </c>
      <c r="J184" s="9" t="n">
        <v>0</v>
      </c>
      <c r="K184" s="4" t="n">
        <v>0</v>
      </c>
      <c r="L184" s="2" t="n">
        <v>37</v>
      </c>
      <c r="M184" s="13">
        <f>L184/(N184+L184+J184+H184+F184)</f>
        <v/>
      </c>
      <c r="N184" s="2" t="n">
        <v>11</v>
      </c>
      <c r="O184" s="13">
        <f>N184/(N184+L184+J184+H184+F184)</f>
        <v/>
      </c>
    </row>
    <row r="185">
      <c r="A185" s="2" t="inlineStr">
        <is>
          <t>LEMONS</t>
        </is>
      </c>
      <c r="B185" s="6" t="n">
        <v>43382</v>
      </c>
      <c r="C185" s="11" t="inlineStr">
        <is>
          <t>12</t>
        </is>
      </c>
      <c r="D185" s="9">
        <f>E185*16</f>
        <v/>
      </c>
      <c r="E185" s="9" t="n">
        <v>78</v>
      </c>
      <c r="F185" s="9" t="n">
        <v>894</v>
      </c>
      <c r="G185" s="4" t="n">
        <v>0.52098</v>
      </c>
      <c r="H185" s="9" t="n">
        <v>695</v>
      </c>
      <c r="I185" s="4" t="n">
        <v>0.40501</v>
      </c>
      <c r="J185" s="9" t="n">
        <v>0</v>
      </c>
      <c r="K185" s="4" t="n">
        <v>0</v>
      </c>
      <c r="L185" s="2" t="n">
        <v>34</v>
      </c>
      <c r="M185" s="13">
        <f>L185/(N185+L185+J185+H185+F185)</f>
        <v/>
      </c>
      <c r="N185" s="2" t="n">
        <v>93</v>
      </c>
      <c r="O185" s="13">
        <f>N185/(N185+L185+J185+H185+F185)</f>
        <v/>
      </c>
    </row>
    <row r="186">
      <c r="A186" s="2" t="inlineStr">
        <is>
          <t>CLEMENTINES</t>
        </is>
      </c>
      <c r="B186" s="6" t="n">
        <v>43470</v>
      </c>
      <c r="C186" s="11" t="inlineStr">
        <is>
          <t>2B</t>
        </is>
      </c>
      <c r="D186" s="9">
        <f>E186*16</f>
        <v/>
      </c>
      <c r="E186" s="9" t="n">
        <v>101</v>
      </c>
      <c r="F186" s="9" t="n">
        <v>13619</v>
      </c>
      <c r="G186" s="4" t="n">
        <v>0.77716</v>
      </c>
      <c r="H186" s="9" t="n">
        <v>0</v>
      </c>
      <c r="I186" s="4" t="n">
        <v>0</v>
      </c>
      <c r="J186" s="9" t="n">
        <v>0</v>
      </c>
      <c r="K186" s="4" t="n">
        <v>0</v>
      </c>
      <c r="L186" s="2" t="n">
        <v>350</v>
      </c>
      <c r="M186" s="13">
        <f>L186/(N186+L186+J186+H186+F186)</f>
        <v/>
      </c>
      <c r="N186" s="2" t="n">
        <v>3555</v>
      </c>
      <c r="O186" s="13">
        <f>N186/(N186+L186+J186+H186+F186)</f>
        <v/>
      </c>
    </row>
    <row r="187">
      <c r="A187" s="2" t="inlineStr">
        <is>
          <t>CLEMENTINES</t>
        </is>
      </c>
      <c r="B187" s="6" t="n">
        <v>43447</v>
      </c>
      <c r="C187" s="11" t="inlineStr">
        <is>
          <t>2B</t>
        </is>
      </c>
      <c r="D187" s="9">
        <f>E187*16</f>
        <v/>
      </c>
      <c r="E187" s="9" t="n">
        <v>96</v>
      </c>
      <c r="F187" s="9" t="n">
        <v>14681</v>
      </c>
      <c r="G187" s="4" t="n">
        <v>0.88142</v>
      </c>
      <c r="H187" s="9" t="n">
        <v>0</v>
      </c>
      <c r="I187" s="4" t="n">
        <v>0</v>
      </c>
      <c r="J187" s="9" t="n">
        <v>0</v>
      </c>
      <c r="K187" s="4" t="n">
        <v>0</v>
      </c>
      <c r="L187" s="2" t="n">
        <v>333</v>
      </c>
      <c r="M187" s="13">
        <f>L187/(N187+L187+J187+H187+F187)</f>
        <v/>
      </c>
      <c r="N187" s="2" t="n">
        <v>1642</v>
      </c>
      <c r="O187" s="13">
        <f>N187/(N187+L187+J187+H187+F187)</f>
        <v/>
      </c>
    </row>
    <row r="188">
      <c r="A188" s="2" t="inlineStr">
        <is>
          <t>NAVEL</t>
        </is>
      </c>
      <c r="B188" s="6" t="n">
        <v>43637</v>
      </c>
      <c r="C188" s="11" t="inlineStr">
        <is>
          <t>3</t>
        </is>
      </c>
      <c r="D188" s="9">
        <f>E188*16</f>
        <v/>
      </c>
      <c r="E188" s="9" t="n">
        <v>19</v>
      </c>
      <c r="F188" s="9" t="n">
        <v>126</v>
      </c>
      <c r="G188" s="4" t="n">
        <v>0.28833</v>
      </c>
      <c r="H188" s="9" t="n">
        <v>21</v>
      </c>
      <c r="I188" s="4" t="n">
        <v>0.04805</v>
      </c>
      <c r="J188" s="9" t="n">
        <v>0</v>
      </c>
      <c r="K188" s="4" t="n">
        <v>0</v>
      </c>
      <c r="L188" s="2" t="n">
        <v>9</v>
      </c>
      <c r="M188" s="13">
        <f>L188/(N188+L188+J188+H188+F188)</f>
        <v/>
      </c>
      <c r="N188" s="2" t="n">
        <v>281</v>
      </c>
      <c r="O188" s="13">
        <f>N188/(N188+L188+J188+H188+F188)</f>
        <v/>
      </c>
    </row>
    <row r="189">
      <c r="A189" s="2" t="inlineStr">
        <is>
          <t>NAVEL</t>
        </is>
      </c>
      <c r="B189" s="6" t="n">
        <v>43636</v>
      </c>
      <c r="C189" s="11" t="inlineStr">
        <is>
          <t>3</t>
        </is>
      </c>
      <c r="D189" s="9">
        <f>E189*16</f>
        <v/>
      </c>
      <c r="E189" s="9" t="n">
        <v>82</v>
      </c>
      <c r="F189" s="9" t="n">
        <v>637</v>
      </c>
      <c r="G189" s="4" t="n">
        <v>0.33775</v>
      </c>
      <c r="H189" s="9" t="n">
        <v>236</v>
      </c>
      <c r="I189" s="4" t="n">
        <v>0.12513</v>
      </c>
      <c r="J189" s="9" t="n">
        <v>0</v>
      </c>
      <c r="K189" s="4" t="n">
        <v>0</v>
      </c>
      <c r="L189" s="2" t="n">
        <v>38</v>
      </c>
      <c r="M189" s="13">
        <f>L189/(N189+L189+J189+H189+F189)</f>
        <v/>
      </c>
      <c r="N189" s="2" t="n">
        <v>975</v>
      </c>
      <c r="O189" s="13">
        <f>N189/(N189+L189+J189+H189+F189)</f>
        <v/>
      </c>
    </row>
    <row r="190">
      <c r="A190" s="2" t="inlineStr">
        <is>
          <t>NAVEL</t>
        </is>
      </c>
      <c r="B190" s="6" t="n">
        <v>43630</v>
      </c>
      <c r="C190" s="11" t="inlineStr">
        <is>
          <t>3</t>
        </is>
      </c>
      <c r="D190" s="9">
        <f>E190*16</f>
        <v/>
      </c>
      <c r="E190" s="9" t="n">
        <v>29</v>
      </c>
      <c r="F190" s="9" t="n">
        <v>272</v>
      </c>
      <c r="G190" s="4" t="n">
        <v>0.4078</v>
      </c>
      <c r="H190" s="9" t="n">
        <v>83</v>
      </c>
      <c r="I190" s="4" t="n">
        <v>0.12444</v>
      </c>
      <c r="J190" s="9" t="n">
        <v>0</v>
      </c>
      <c r="K190" s="4" t="n">
        <v>0</v>
      </c>
      <c r="L190" s="2" t="n">
        <v>13</v>
      </c>
      <c r="M190" s="13">
        <f>L190/(N190+L190+J190+H190+F190)</f>
        <v/>
      </c>
      <c r="N190" s="2" t="n">
        <v>299</v>
      </c>
      <c r="O190" s="13">
        <f>N190/(N190+L190+J190+H190+F190)</f>
        <v/>
      </c>
    </row>
    <row r="191">
      <c r="A191" s="2" t="inlineStr">
        <is>
          <t>NAVEL</t>
        </is>
      </c>
      <c r="B191" s="6" t="n">
        <v>43539</v>
      </c>
      <c r="C191" s="11" t="inlineStr">
        <is>
          <t>3</t>
        </is>
      </c>
      <c r="D191" s="9">
        <f>E191*16</f>
        <v/>
      </c>
      <c r="E191" s="9" t="n">
        <v>171</v>
      </c>
      <c r="F191" s="9" t="n">
        <v>959</v>
      </c>
      <c r="G191" s="4" t="n">
        <v>0.24383</v>
      </c>
      <c r="H191" s="9" t="n">
        <v>491</v>
      </c>
      <c r="I191" s="4" t="n">
        <v>0.12484</v>
      </c>
      <c r="J191" s="9" t="n">
        <v>0</v>
      </c>
      <c r="K191" s="4" t="n">
        <v>0</v>
      </c>
      <c r="L191" s="2" t="n">
        <v>79</v>
      </c>
      <c r="M191" s="13">
        <f>L191/(N191+L191+J191+H191+F191)</f>
        <v/>
      </c>
      <c r="N191" s="2" t="n">
        <v>2404</v>
      </c>
      <c r="O191" s="13">
        <f>N191/(N191+L191+J191+H191+F191)</f>
        <v/>
      </c>
    </row>
    <row r="192">
      <c r="A192" s="2" t="inlineStr">
        <is>
          <t>NAVEL</t>
        </is>
      </c>
      <c r="B192" s="6" t="n">
        <v>43537</v>
      </c>
      <c r="C192" s="11" t="inlineStr">
        <is>
          <t>3</t>
        </is>
      </c>
      <c r="D192" s="9">
        <f>E192*16</f>
        <v/>
      </c>
      <c r="E192" s="9" t="n">
        <v>137</v>
      </c>
      <c r="F192" s="9" t="n">
        <v>876</v>
      </c>
      <c r="G192" s="4" t="n">
        <v>0.27801</v>
      </c>
      <c r="H192" s="9" t="n">
        <v>257</v>
      </c>
      <c r="I192" s="4" t="n">
        <v>0.08155999999999999</v>
      </c>
      <c r="J192" s="9" t="n">
        <v>0</v>
      </c>
      <c r="K192" s="4" t="n">
        <v>0</v>
      </c>
      <c r="L192" s="2" t="n">
        <v>63</v>
      </c>
      <c r="M192" s="13">
        <f>L192/(N192+L192+J192+H192+F192)</f>
        <v/>
      </c>
      <c r="N192" s="2" t="n">
        <v>1955</v>
      </c>
      <c r="O192" s="13">
        <f>N192/(N192+L192+J192+H192+F192)</f>
        <v/>
      </c>
    </row>
    <row r="193">
      <c r="A193" s="2" t="inlineStr">
        <is>
          <t>NAVEL</t>
        </is>
      </c>
      <c r="B193" s="6" t="n">
        <v>43525</v>
      </c>
      <c r="C193" s="11" t="inlineStr">
        <is>
          <t>3</t>
        </is>
      </c>
      <c r="D193" s="9">
        <f>E193*16</f>
        <v/>
      </c>
      <c r="E193" s="9" t="n">
        <v>59</v>
      </c>
      <c r="F193" s="9" t="n">
        <v>612</v>
      </c>
      <c r="G193" s="4" t="n">
        <v>0.45099</v>
      </c>
      <c r="H193" s="9" t="n">
        <v>223</v>
      </c>
      <c r="I193" s="4" t="n">
        <v>0.16433</v>
      </c>
      <c r="J193" s="9" t="n">
        <v>0</v>
      </c>
      <c r="K193" s="4" t="n">
        <v>0</v>
      </c>
      <c r="L193" s="2" t="n">
        <v>27</v>
      </c>
      <c r="M193" s="13">
        <f>L193/(N193+L193+J193+H193+F193)</f>
        <v/>
      </c>
      <c r="N193" s="2" t="n">
        <v>495</v>
      </c>
      <c r="O193" s="13">
        <f>N193/(N193+L193+J193+H193+F193)</f>
        <v/>
      </c>
    </row>
    <row r="194">
      <c r="A194" s="2" t="inlineStr">
        <is>
          <t>NAVEL</t>
        </is>
      </c>
      <c r="B194" s="6" t="n">
        <v>43524</v>
      </c>
      <c r="C194" s="11" t="inlineStr">
        <is>
          <t>3</t>
        </is>
      </c>
      <c r="D194" s="9">
        <f>E194*16</f>
        <v/>
      </c>
      <c r="E194" s="9" t="n">
        <v>86</v>
      </c>
      <c r="F194" s="9" t="n">
        <v>840</v>
      </c>
      <c r="G194" s="4" t="n">
        <v>0.42467</v>
      </c>
      <c r="H194" s="9" t="n">
        <v>436</v>
      </c>
      <c r="I194" s="4" t="n">
        <v>0.22042</v>
      </c>
      <c r="J194" s="9" t="n">
        <v>0</v>
      </c>
      <c r="K194" s="4" t="n">
        <v>0</v>
      </c>
      <c r="L194" s="2" t="n">
        <v>40</v>
      </c>
      <c r="M194" s="13">
        <f>L194/(N194+L194+J194+H194+F194)</f>
        <v/>
      </c>
      <c r="N194" s="2" t="n">
        <v>662</v>
      </c>
      <c r="O194" s="13">
        <f>N194/(N194+L194+J194+H194+F194)</f>
        <v/>
      </c>
    </row>
    <row r="195">
      <c r="A195" s="2" t="inlineStr">
        <is>
          <t>NAVEL</t>
        </is>
      </c>
      <c r="B195" s="6" t="n">
        <v>43654</v>
      </c>
      <c r="C195" s="11" t="inlineStr">
        <is>
          <t>8</t>
        </is>
      </c>
      <c r="D195" s="9">
        <f>E195*16</f>
        <v/>
      </c>
      <c r="E195" s="9" t="n">
        <v>87</v>
      </c>
      <c r="F195" s="9" t="n">
        <v>501</v>
      </c>
      <c r="G195" s="4" t="n">
        <v>0.25037</v>
      </c>
      <c r="H195" s="9" t="n">
        <v>501</v>
      </c>
      <c r="I195" s="4" t="n">
        <v>0.25037</v>
      </c>
      <c r="J195" s="9" t="n">
        <v>0</v>
      </c>
      <c r="K195" s="4" t="n">
        <v>0</v>
      </c>
      <c r="L195" s="2" t="n">
        <v>40</v>
      </c>
      <c r="M195" s="13">
        <f>L195/(N195+L195+J195+H195+F195)</f>
        <v/>
      </c>
      <c r="N195" s="2" t="n">
        <v>959</v>
      </c>
      <c r="O195" s="13">
        <f>N195/(N195+L195+J195+H195+F195)</f>
        <v/>
      </c>
    </row>
    <row r="196">
      <c r="A196" s="2" t="inlineStr">
        <is>
          <t>NAVEL</t>
        </is>
      </c>
      <c r="B196" s="6" t="n">
        <v>43652</v>
      </c>
      <c r="C196" s="11" t="inlineStr">
        <is>
          <t>8</t>
        </is>
      </c>
      <c r="D196" s="9">
        <f>E196*16</f>
        <v/>
      </c>
      <c r="E196" s="9" t="n">
        <v>250</v>
      </c>
      <c r="F196" s="9" t="n">
        <v>1440</v>
      </c>
      <c r="G196" s="4" t="n">
        <v>0.25043</v>
      </c>
      <c r="H196" s="9" t="n">
        <v>1440</v>
      </c>
      <c r="I196" s="4" t="n">
        <v>0.25043</v>
      </c>
      <c r="J196" s="9" t="n">
        <v>0</v>
      </c>
      <c r="K196" s="4" t="n">
        <v>0</v>
      </c>
      <c r="L196" s="2" t="n">
        <v>115</v>
      </c>
      <c r="M196" s="13">
        <f>L196/(N196+L196+J196+H196+F196)</f>
        <v/>
      </c>
      <c r="N196" s="2" t="n">
        <v>2755</v>
      </c>
      <c r="O196" s="13">
        <f>N196/(N196+L196+J196+H196+F196)</f>
        <v/>
      </c>
    </row>
    <row r="197">
      <c r="A197" s="2" t="inlineStr">
        <is>
          <t>NAVEL</t>
        </is>
      </c>
      <c r="B197" s="6" t="n">
        <v>43651</v>
      </c>
      <c r="C197" s="11" t="inlineStr">
        <is>
          <t>8</t>
        </is>
      </c>
      <c r="D197" s="9">
        <f>E197*16</f>
        <v/>
      </c>
      <c r="E197" s="9" t="n">
        <v>211</v>
      </c>
      <c r="F197" s="9" t="n">
        <v>1112</v>
      </c>
      <c r="G197" s="4" t="n">
        <v>0.22914</v>
      </c>
      <c r="H197" s="9" t="n">
        <v>1710</v>
      </c>
      <c r="I197" s="4" t="n">
        <v>0.35236</v>
      </c>
      <c r="J197" s="9" t="n">
        <v>0</v>
      </c>
      <c r="K197" s="4" t="n">
        <v>0</v>
      </c>
      <c r="L197" s="2" t="n">
        <v>97</v>
      </c>
      <c r="M197" s="13">
        <f>L197/(N197+L197+J197+H197+F197)</f>
        <v/>
      </c>
      <c r="N197" s="2" t="n">
        <v>1934</v>
      </c>
      <c r="O197" s="13">
        <f>N197/(N197+L197+J197+H197+F197)</f>
        <v/>
      </c>
    </row>
    <row r="198">
      <c r="A198" s="2" t="inlineStr">
        <is>
          <t>NAVEL</t>
        </is>
      </c>
      <c r="B198" s="6" t="n">
        <v>43580</v>
      </c>
      <c r="C198" s="11" t="inlineStr">
        <is>
          <t>8</t>
        </is>
      </c>
      <c r="D198" s="9">
        <f>E198*16</f>
        <v/>
      </c>
      <c r="E198" s="9" t="n">
        <v>29</v>
      </c>
      <c r="F198" s="9" t="n">
        <v>549</v>
      </c>
      <c r="G198" s="4" t="n">
        <v>0.82309</v>
      </c>
      <c r="H198" s="9" t="n">
        <v>75</v>
      </c>
      <c r="I198" s="4" t="n">
        <v>0.11244</v>
      </c>
      <c r="J198" s="9" t="n">
        <v>0</v>
      </c>
      <c r="K198" s="4" t="n">
        <v>0</v>
      </c>
      <c r="L198" s="2" t="n">
        <v>13</v>
      </c>
      <c r="M198" s="13">
        <f>L198/(N198+L198+J198+H198+F198)</f>
        <v/>
      </c>
      <c r="N198" s="2" t="n">
        <v>30</v>
      </c>
      <c r="O198" s="13">
        <f>N198/(N198+L198+J198+H198+F198)</f>
        <v/>
      </c>
    </row>
    <row r="199">
      <c r="A199" s="2" t="inlineStr">
        <is>
          <t>NAVEL</t>
        </is>
      </c>
      <c r="B199" s="6" t="n">
        <v>43579</v>
      </c>
      <c r="C199" s="11" t="inlineStr">
        <is>
          <t>8</t>
        </is>
      </c>
      <c r="D199" s="9">
        <f>E199*16</f>
        <v/>
      </c>
      <c r="E199" s="9" t="n">
        <v>147</v>
      </c>
      <c r="F199" s="9" t="n">
        <v>2624</v>
      </c>
      <c r="G199" s="4" t="n">
        <v>0.7761</v>
      </c>
      <c r="H199" s="9" t="n">
        <v>459</v>
      </c>
      <c r="I199" s="4" t="n">
        <v>0.13576</v>
      </c>
      <c r="J199" s="9" t="n">
        <v>0</v>
      </c>
      <c r="K199" s="4" t="n">
        <v>0</v>
      </c>
      <c r="L199" s="2" t="n">
        <v>68</v>
      </c>
      <c r="M199" s="13">
        <f>L199/(N199+L199+J199+H199+F199)</f>
        <v/>
      </c>
      <c r="N199" s="2" t="n">
        <v>230</v>
      </c>
      <c r="O199" s="13">
        <f>N199/(N199+L199+J199+H199+F199)</f>
        <v/>
      </c>
    </row>
    <row r="200">
      <c r="A200" s="2" t="inlineStr">
        <is>
          <t>CARA-CARA</t>
        </is>
      </c>
      <c r="B200" s="6" t="n">
        <v>43570</v>
      </c>
      <c r="C200" s="11" t="inlineStr">
        <is>
          <t>9</t>
        </is>
      </c>
      <c r="D200" s="9">
        <f>E200*16</f>
        <v/>
      </c>
      <c r="E200" s="9" t="n">
        <v>178</v>
      </c>
      <c r="F200" s="9" t="n">
        <v>3279</v>
      </c>
      <c r="G200" s="4" t="n">
        <v>0.80093</v>
      </c>
      <c r="H200" s="9" t="n">
        <v>393</v>
      </c>
      <c r="I200" s="4" t="n">
        <v>0.09599000000000001</v>
      </c>
      <c r="J200" s="9" t="n">
        <v>0</v>
      </c>
      <c r="K200" s="4" t="n">
        <v>0</v>
      </c>
      <c r="L200" s="2" t="n">
        <v>82</v>
      </c>
      <c r="M200" s="13">
        <f>L200/(N200+L200+J200+H200+F200)</f>
        <v/>
      </c>
      <c r="N200" s="2" t="n">
        <v>340</v>
      </c>
      <c r="O200" s="13">
        <f>N200/(N200+L200+J200+H200+F200)</f>
        <v/>
      </c>
    </row>
    <row r="201">
      <c r="A201" s="2" t="inlineStr">
        <is>
          <t>CARA-CARA</t>
        </is>
      </c>
      <c r="B201" s="6" t="n">
        <v>43540</v>
      </c>
      <c r="C201" s="11" t="inlineStr">
        <is>
          <t>9</t>
        </is>
      </c>
      <c r="D201" s="9">
        <f>E201*16</f>
        <v/>
      </c>
      <c r="E201" s="9" t="n">
        <v>100</v>
      </c>
      <c r="F201" s="9" t="n">
        <v>1890</v>
      </c>
      <c r="G201" s="4" t="n">
        <v>0.82174</v>
      </c>
      <c r="H201" s="9" t="n">
        <v>232</v>
      </c>
      <c r="I201" s="4" t="n">
        <v>0.10087</v>
      </c>
      <c r="J201" s="9" t="n">
        <v>0</v>
      </c>
      <c r="K201" s="4" t="n">
        <v>0</v>
      </c>
      <c r="L201" s="2" t="n">
        <v>46</v>
      </c>
      <c r="M201" s="13">
        <f>L201/(N201+L201+J201+H201+F201)</f>
        <v/>
      </c>
      <c r="N201" s="2" t="n">
        <v>132</v>
      </c>
      <c r="O201" s="13">
        <f>N201/(N201+L201+J201+H201+F201)</f>
        <v/>
      </c>
    </row>
    <row r="202">
      <c r="A202" s="2" t="inlineStr">
        <is>
          <t>CARA-CARA</t>
        </is>
      </c>
      <c r="B202" s="6" t="n">
        <v>43519</v>
      </c>
      <c r="C202" s="11" t="inlineStr">
        <is>
          <t>9</t>
        </is>
      </c>
      <c r="D202" s="9">
        <f>E202*16</f>
        <v/>
      </c>
      <c r="E202" s="9" t="n">
        <v>200</v>
      </c>
      <c r="F202" s="9" t="n">
        <v>3861</v>
      </c>
      <c r="G202" s="4" t="n">
        <v>0.83935</v>
      </c>
      <c r="H202" s="9" t="n">
        <v>496</v>
      </c>
      <c r="I202" s="4" t="n">
        <v>0.10783</v>
      </c>
      <c r="J202" s="9" t="n">
        <v>0</v>
      </c>
      <c r="K202" s="4" t="n">
        <v>0</v>
      </c>
      <c r="L202" s="2" t="n">
        <v>92</v>
      </c>
      <c r="M202" s="13">
        <f>L202/(N202+L202+J202+H202+F202)</f>
        <v/>
      </c>
      <c r="N202" s="2" t="n">
        <v>151</v>
      </c>
      <c r="O202" s="13">
        <f>N202/(N202+L202+J202+H202+F202)</f>
        <v/>
      </c>
    </row>
    <row r="203">
      <c r="A203" s="2" t="inlineStr">
        <is>
          <t>NAVEL</t>
        </is>
      </c>
      <c r="B203" s="6" t="n">
        <v>43221</v>
      </c>
      <c r="C203" s="11" t="inlineStr">
        <is>
          <t>10</t>
        </is>
      </c>
      <c r="D203" s="9">
        <f>E203*16</f>
        <v/>
      </c>
      <c r="E203" s="9" t="n">
        <v>114</v>
      </c>
      <c r="F203" s="9" t="n">
        <v>1542</v>
      </c>
      <c r="G203" s="4" t="n">
        <v>0.5881</v>
      </c>
      <c r="H203" s="9" t="n">
        <v>491</v>
      </c>
      <c r="I203" s="4" t="n">
        <v>0.18726</v>
      </c>
      <c r="J203" s="9" t="n">
        <v>0</v>
      </c>
      <c r="K203" s="4" t="n">
        <v>0</v>
      </c>
      <c r="L203" s="2" t="n">
        <v>52</v>
      </c>
      <c r="M203" s="13">
        <f>L203/(N203+L203+J203+H203+F203)</f>
        <v/>
      </c>
      <c r="N203" s="2" t="n">
        <v>537</v>
      </c>
      <c r="O203" s="13">
        <f>N203/(N203+L203+J203+H203+F203)</f>
        <v/>
      </c>
    </row>
    <row r="204">
      <c r="A204" s="2" t="inlineStr">
        <is>
          <t>LEMONS</t>
        </is>
      </c>
      <c r="B204" s="6" t="n">
        <v>43192</v>
      </c>
      <c r="C204" s="11" t="inlineStr">
        <is>
          <t>12</t>
        </is>
      </c>
      <c r="D204" s="9">
        <f>E204*16</f>
        <v/>
      </c>
      <c r="E204" s="9" t="n">
        <v>300</v>
      </c>
      <c r="F204" s="9" t="n">
        <v>2164</v>
      </c>
      <c r="G204" s="4" t="n">
        <v>0.32788</v>
      </c>
      <c r="H204" s="9" t="n">
        <v>1286</v>
      </c>
      <c r="I204" s="4" t="n">
        <v>0.19485</v>
      </c>
      <c r="J204" s="9" t="n">
        <v>0</v>
      </c>
      <c r="K204" s="4" t="n">
        <v>0</v>
      </c>
      <c r="L204" s="2" t="n">
        <v>132</v>
      </c>
      <c r="M204" s="13">
        <f>L204/(N204+L204+J204+H204+F204)</f>
        <v/>
      </c>
      <c r="N204" s="2" t="n">
        <v>3018</v>
      </c>
      <c r="O204" s="13">
        <f>N204/(N204+L204+J204+H204+F204)</f>
        <v/>
      </c>
    </row>
    <row r="205">
      <c r="A205" s="2" t="inlineStr">
        <is>
          <t>LEMONS</t>
        </is>
      </c>
      <c r="B205" s="6" t="n">
        <v>43171</v>
      </c>
      <c r="C205" s="11" t="inlineStr">
        <is>
          <t>12</t>
        </is>
      </c>
      <c r="D205" s="9">
        <f>E205*16</f>
        <v/>
      </c>
      <c r="E205" s="9" t="n">
        <v>35</v>
      </c>
      <c r="F205" s="9" t="n">
        <v>361</v>
      </c>
      <c r="G205" s="4" t="n">
        <v>0.46883</v>
      </c>
      <c r="H205" s="9" t="n">
        <v>188</v>
      </c>
      <c r="I205" s="4" t="n">
        <v>0.24416</v>
      </c>
      <c r="J205" s="9" t="n">
        <v>0</v>
      </c>
      <c r="K205" s="4" t="n">
        <v>0</v>
      </c>
      <c r="L205" s="2" t="n">
        <v>15</v>
      </c>
      <c r="M205" s="13">
        <f>L205/(N205+L205+J205+H205+F205)</f>
        <v/>
      </c>
      <c r="N205" s="2" t="n">
        <v>206</v>
      </c>
      <c r="O205" s="13">
        <f>N205/(N205+L205+J205+H205+F205)</f>
        <v/>
      </c>
    </row>
    <row r="206">
      <c r="A206" s="2" t="inlineStr">
        <is>
          <t>LEMONS</t>
        </is>
      </c>
      <c r="B206" s="6" t="n">
        <v>43104</v>
      </c>
      <c r="C206" s="11" t="inlineStr">
        <is>
          <t>12</t>
        </is>
      </c>
      <c r="D206" s="9">
        <f>E206*16</f>
        <v/>
      </c>
      <c r="E206" s="9" t="n">
        <v>119</v>
      </c>
      <c r="F206" s="9" t="n">
        <v>1352</v>
      </c>
      <c r="G206" s="4" t="n">
        <v>0.51642</v>
      </c>
      <c r="H206" s="9" t="n">
        <v>892</v>
      </c>
      <c r="I206" s="4" t="n">
        <v>0.34072</v>
      </c>
      <c r="J206" s="9" t="n">
        <v>0</v>
      </c>
      <c r="K206" s="4" t="n">
        <v>0</v>
      </c>
      <c r="L206" s="2" t="n">
        <v>52</v>
      </c>
      <c r="M206" s="13">
        <f>L206/(N206+L206+J206+H206+F206)</f>
        <v/>
      </c>
      <c r="N206" s="2" t="n">
        <v>322</v>
      </c>
      <c r="O206" s="13">
        <f>N206/(N206+L206+J206+H206+F206)</f>
        <v/>
      </c>
    </row>
    <row r="207">
      <c r="A207" s="2" t="inlineStr">
        <is>
          <t>LEMONS</t>
        </is>
      </c>
      <c r="B207" s="6" t="n">
        <v>43103</v>
      </c>
      <c r="C207" s="11" t="inlineStr">
        <is>
          <t>12</t>
        </is>
      </c>
      <c r="D207" s="9">
        <f>E207*16</f>
        <v/>
      </c>
      <c r="E207" s="9" t="n">
        <v>96</v>
      </c>
      <c r="F207" s="9" t="n">
        <v>1229</v>
      </c>
      <c r="G207" s="4" t="n">
        <v>0.58191</v>
      </c>
      <c r="H207" s="9" t="n">
        <v>614</v>
      </c>
      <c r="I207" s="4" t="n">
        <v>0.29072</v>
      </c>
      <c r="J207" s="9" t="n">
        <v>0</v>
      </c>
      <c r="K207" s="4" t="n">
        <v>0</v>
      </c>
      <c r="L207" s="2" t="n">
        <v>42</v>
      </c>
      <c r="M207" s="13">
        <f>L207/(N207+L207+J207+H207+F207)</f>
        <v/>
      </c>
      <c r="N207" s="2" t="n">
        <v>227</v>
      </c>
      <c r="O207" s="13">
        <f>N207/(N207+L207+J207+H207+F207)</f>
        <v/>
      </c>
    </row>
    <row r="208">
      <c r="A208" s="2" t="inlineStr">
        <is>
          <t>LEMONS</t>
        </is>
      </c>
      <c r="B208" s="6" t="n">
        <v>43059</v>
      </c>
      <c r="C208" s="11" t="inlineStr">
        <is>
          <t>12</t>
        </is>
      </c>
      <c r="D208" s="9">
        <f>E208*16</f>
        <v/>
      </c>
      <c r="E208" s="9" t="n">
        <v>172</v>
      </c>
      <c r="F208" s="9" t="n">
        <v>2683</v>
      </c>
      <c r="G208" s="4" t="n">
        <v>0.70904</v>
      </c>
      <c r="H208" s="9" t="n">
        <v>966</v>
      </c>
      <c r="I208" s="4" t="n">
        <v>0.25529</v>
      </c>
      <c r="J208" s="9" t="n">
        <v>0</v>
      </c>
      <c r="K208" s="4" t="n">
        <v>0</v>
      </c>
      <c r="L208" s="2" t="n">
        <v>76</v>
      </c>
      <c r="M208" s="13">
        <f>L208/(N208+L208+J208+H208+F208)</f>
        <v/>
      </c>
      <c r="N208" s="2" t="n">
        <v>59</v>
      </c>
      <c r="O208" s="13">
        <f>N208/(N208+L208+J208+H208+F208)</f>
        <v/>
      </c>
    </row>
    <row r="209">
      <c r="A209" s="2" t="inlineStr">
        <is>
          <t>LEMONS</t>
        </is>
      </c>
      <c r="B209" s="6" t="n">
        <v>43056</v>
      </c>
      <c r="C209" s="11" t="inlineStr">
        <is>
          <t>12</t>
        </is>
      </c>
      <c r="D209" s="9">
        <f>E209*16</f>
        <v/>
      </c>
      <c r="E209" s="9" t="n">
        <v>98</v>
      </c>
      <c r="F209" s="9" t="n">
        <v>1642</v>
      </c>
      <c r="G209" s="4" t="n">
        <v>0.7616000000000001</v>
      </c>
      <c r="H209" s="9" t="n">
        <v>358</v>
      </c>
      <c r="I209" s="4" t="n">
        <v>0.16605</v>
      </c>
      <c r="J209" s="9" t="n">
        <v>0</v>
      </c>
      <c r="K209" s="4" t="n">
        <v>0</v>
      </c>
      <c r="L209" s="2" t="n">
        <v>43</v>
      </c>
      <c r="M209" s="13">
        <f>L209/(N209+L209+J209+H209+F209)</f>
        <v/>
      </c>
      <c r="N209" s="2" t="n">
        <v>113</v>
      </c>
      <c r="O209" s="13">
        <f>N209/(N209+L209+J209+H209+F209)</f>
        <v/>
      </c>
    </row>
    <row r="210">
      <c r="A210" s="2" t="inlineStr">
        <is>
          <t>NAVEL</t>
        </is>
      </c>
      <c r="B210" s="6" t="n">
        <v>43153</v>
      </c>
      <c r="C210" s="11" t="inlineStr">
        <is>
          <t>3</t>
        </is>
      </c>
      <c r="D210" s="9">
        <f>E210*16</f>
        <v/>
      </c>
      <c r="E210" s="9" t="n">
        <v>161.25</v>
      </c>
      <c r="F210" s="9" t="n">
        <v>2717</v>
      </c>
      <c r="G210" s="4" t="n">
        <v>0.73254</v>
      </c>
      <c r="H210" s="9" t="n">
        <v>525</v>
      </c>
      <c r="I210" s="4" t="n">
        <v>0.14155</v>
      </c>
      <c r="J210" s="9" t="n">
        <v>0</v>
      </c>
      <c r="K210" s="4" t="n">
        <v>0</v>
      </c>
      <c r="L210" s="2" t="n">
        <v>74</v>
      </c>
      <c r="M210" s="13">
        <f>L210/(N210+L210+J210+H210+F210)</f>
        <v/>
      </c>
      <c r="N210" s="2" t="n">
        <v>393</v>
      </c>
      <c r="O210" s="13">
        <f>N210/(N210+L210+J210+H210+F210)</f>
        <v/>
      </c>
    </row>
    <row r="211">
      <c r="A211" s="2" t="inlineStr">
        <is>
          <t>NAVEL</t>
        </is>
      </c>
      <c r="B211" s="6" t="n">
        <v>43152</v>
      </c>
      <c r="C211" s="11" t="inlineStr">
        <is>
          <t>3</t>
        </is>
      </c>
      <c r="D211" s="9">
        <f>E211*16</f>
        <v/>
      </c>
      <c r="E211" s="9" t="n">
        <v>300</v>
      </c>
      <c r="F211" s="9" t="n">
        <v>4056</v>
      </c>
      <c r="G211" s="4" t="n">
        <v>0.58783</v>
      </c>
      <c r="H211" s="9" t="n">
        <v>1881</v>
      </c>
      <c r="I211" s="4" t="n">
        <v>0.27261</v>
      </c>
      <c r="J211" s="9" t="n">
        <v>0</v>
      </c>
      <c r="K211" s="4" t="n">
        <v>0</v>
      </c>
      <c r="L211" s="2" t="n">
        <v>138</v>
      </c>
      <c r="M211" s="13">
        <f>L211/(N211+L211+J211+H211+F211)</f>
        <v/>
      </c>
      <c r="N211" s="2" t="n">
        <v>825</v>
      </c>
      <c r="O211" s="13">
        <f>N211/(N211+L211+J211+H211+F211)</f>
        <v/>
      </c>
    </row>
    <row r="212">
      <c r="A212" s="2" t="inlineStr">
        <is>
          <t>NAVEL</t>
        </is>
      </c>
      <c r="B212" s="6" t="n">
        <v>43152</v>
      </c>
      <c r="C212" s="11" t="inlineStr">
        <is>
          <t>3</t>
        </is>
      </c>
      <c r="D212" s="9">
        <f>E212*16</f>
        <v/>
      </c>
      <c r="E212" s="9" t="n">
        <v>100</v>
      </c>
      <c r="F212" s="9" t="n">
        <v>1649</v>
      </c>
      <c r="G212" s="4" t="n">
        <v>0.71696</v>
      </c>
      <c r="H212" s="9" t="n">
        <v>272</v>
      </c>
      <c r="I212" s="4" t="n">
        <v>0.11826</v>
      </c>
      <c r="J212" s="9" t="n">
        <v>0</v>
      </c>
      <c r="K212" s="4" t="n">
        <v>0</v>
      </c>
      <c r="L212" s="2" t="n">
        <v>46</v>
      </c>
      <c r="M212" s="13">
        <f>L212/(N212+L212+J212+H212+F212)</f>
        <v/>
      </c>
      <c r="N212" s="2" t="n">
        <v>333</v>
      </c>
      <c r="O212" s="13">
        <f>N212/(N212+L212+J212+H212+F212)</f>
        <v/>
      </c>
    </row>
    <row r="213">
      <c r="A213" s="2" t="inlineStr">
        <is>
          <t>VALENCIA</t>
        </is>
      </c>
      <c r="B213" s="6" t="n">
        <v>43368</v>
      </c>
      <c r="C213" s="11" t="inlineStr">
        <is>
          <t>5</t>
        </is>
      </c>
      <c r="D213" s="9">
        <f>E213*16</f>
        <v/>
      </c>
      <c r="E213" s="9" t="n">
        <v>186</v>
      </c>
      <c r="F213" s="9" t="n">
        <v>2533</v>
      </c>
      <c r="G213" s="4" t="n">
        <v>0.5921</v>
      </c>
      <c r="H213" s="9" t="n">
        <v>465</v>
      </c>
      <c r="I213" s="4" t="n">
        <v>0.1087</v>
      </c>
      <c r="J213" s="9" t="n">
        <v>0</v>
      </c>
      <c r="K213" s="4" t="n">
        <v>0</v>
      </c>
      <c r="L213" s="2" t="n">
        <v>0</v>
      </c>
      <c r="M213" s="13">
        <f>L213/(N213+L213+J213+H213+F213)</f>
        <v/>
      </c>
      <c r="N213" s="2" t="n">
        <v>1280</v>
      </c>
      <c r="O213" s="13">
        <f>N213/(N213+L213+J213+H213+F213)</f>
        <v/>
      </c>
    </row>
    <row r="214">
      <c r="A214" s="2" t="inlineStr">
        <is>
          <t>NAVEL</t>
        </is>
      </c>
      <c r="B214" s="6" t="n">
        <v>43229</v>
      </c>
      <c r="C214" s="11" t="inlineStr">
        <is>
          <t>8</t>
        </is>
      </c>
      <c r="D214" s="9">
        <f>E214*16</f>
        <v/>
      </c>
      <c r="E214" s="9" t="n">
        <v>318</v>
      </c>
      <c r="F214" s="9" t="n">
        <v>4228</v>
      </c>
      <c r="G214" s="4" t="n">
        <v>0.57807</v>
      </c>
      <c r="H214" s="9" t="n">
        <v>2370</v>
      </c>
      <c r="I214" s="4" t="n">
        <v>0.32404</v>
      </c>
      <c r="J214" s="9" t="n">
        <v>0</v>
      </c>
      <c r="K214" s="4" t="n">
        <v>0</v>
      </c>
      <c r="L214" s="2" t="n">
        <v>146</v>
      </c>
      <c r="M214" s="13">
        <f>L214/(N214+L214+J214+H214+F214)</f>
        <v/>
      </c>
      <c r="N214" s="2" t="n">
        <v>570</v>
      </c>
      <c r="O214" s="13">
        <f>N214/(N214+L214+J214+H214+F214)</f>
        <v/>
      </c>
    </row>
    <row r="215">
      <c r="A215" s="2" t="inlineStr">
        <is>
          <t>NAVEL</t>
        </is>
      </c>
      <c r="B215" s="6" t="n">
        <v>43227</v>
      </c>
      <c r="C215" s="11" t="inlineStr">
        <is>
          <t>8</t>
        </is>
      </c>
      <c r="D215" s="9">
        <f>E215*16</f>
        <v/>
      </c>
      <c r="E215" s="9" t="n">
        <v>250</v>
      </c>
      <c r="F215" s="9" t="n">
        <v>3831</v>
      </c>
      <c r="G215" s="4" t="n">
        <v>0.66626</v>
      </c>
      <c r="H215" s="9" t="n">
        <v>1558</v>
      </c>
      <c r="I215" s="4" t="n">
        <v>0.27096</v>
      </c>
      <c r="J215" s="9" t="n">
        <v>0</v>
      </c>
      <c r="K215" s="4" t="n">
        <v>0</v>
      </c>
      <c r="L215" s="2" t="n">
        <v>115</v>
      </c>
      <c r="M215" s="13">
        <f>L215/(N215+L215+J215+H215+F215)</f>
        <v/>
      </c>
      <c r="N215" s="2" t="n">
        <v>246</v>
      </c>
      <c r="O215" s="13">
        <f>N215/(N215+L215+J215+H215+F215)</f>
        <v/>
      </c>
    </row>
    <row r="216">
      <c r="A216" s="2" t="inlineStr">
        <is>
          <t>NAVEL</t>
        </is>
      </c>
      <c r="B216" s="6" t="n">
        <v>43222</v>
      </c>
      <c r="C216" s="11" t="inlineStr">
        <is>
          <t>8</t>
        </is>
      </c>
      <c r="D216" s="9">
        <f>E216*16</f>
        <v/>
      </c>
      <c r="E216" s="9" t="n">
        <v>100</v>
      </c>
      <c r="F216" s="9" t="n">
        <v>1449</v>
      </c>
      <c r="G216" s="4" t="n">
        <v>0.63</v>
      </c>
      <c r="H216" s="9" t="n">
        <v>552</v>
      </c>
      <c r="I216" s="4" t="n">
        <v>0.24</v>
      </c>
      <c r="J216" s="9" t="n">
        <v>0</v>
      </c>
      <c r="K216" s="4" t="n">
        <v>0</v>
      </c>
      <c r="L216" s="2" t="n">
        <v>46</v>
      </c>
      <c r="M216" s="13">
        <f>L216/(N216+L216+J216+H216+F216)</f>
        <v/>
      </c>
      <c r="N216" s="2" t="n">
        <v>253</v>
      </c>
      <c r="O216" s="13">
        <f>N216/(N216+L216+J216+H216+F216)</f>
        <v/>
      </c>
    </row>
    <row r="217">
      <c r="A217" s="2" t="inlineStr">
        <is>
          <t>CARA-CARA</t>
        </is>
      </c>
      <c r="B217" s="6" t="n">
        <v>43119</v>
      </c>
      <c r="C217" s="11" t="inlineStr">
        <is>
          <t>9</t>
        </is>
      </c>
      <c r="D217" s="9">
        <f>E217*16</f>
        <v/>
      </c>
      <c r="E217" s="9" t="n">
        <v>100</v>
      </c>
      <c r="F217" s="9" t="n">
        <v>2114</v>
      </c>
      <c r="G217" s="4" t="n">
        <v>0.91913</v>
      </c>
      <c r="H217" s="9" t="n">
        <v>0</v>
      </c>
      <c r="I217" s="4" t="n">
        <v>0</v>
      </c>
      <c r="J217" s="9" t="n">
        <v>0</v>
      </c>
      <c r="K217" s="4" t="n">
        <v>0</v>
      </c>
      <c r="L217" s="2" t="n">
        <v>46</v>
      </c>
      <c r="M217" s="13">
        <f>L217/(N217+L217+J217+H217+F217)</f>
        <v/>
      </c>
      <c r="N217" s="2" t="n">
        <v>140</v>
      </c>
      <c r="O217" s="13">
        <f>N217/(N217+L217+J217+H217+F217)</f>
        <v/>
      </c>
    </row>
    <row r="218">
      <c r="A218" s="2" t="inlineStr">
        <is>
          <t>CARA-CARA</t>
        </is>
      </c>
      <c r="B218" s="6" t="n">
        <v>43125</v>
      </c>
      <c r="C218" s="11" t="inlineStr">
        <is>
          <t>9</t>
        </is>
      </c>
      <c r="D218" s="9">
        <f>E218*16</f>
        <v/>
      </c>
      <c r="E218" s="9" t="n">
        <v>105</v>
      </c>
      <c r="F218" s="9" t="n">
        <v>2206</v>
      </c>
      <c r="G218" s="4" t="n">
        <v>0.91346</v>
      </c>
      <c r="H218" s="9" t="n">
        <v>0</v>
      </c>
      <c r="I218" s="4" t="n">
        <v>0</v>
      </c>
      <c r="J218" s="9" t="n">
        <v>0</v>
      </c>
      <c r="K218" s="4" t="n">
        <v>0</v>
      </c>
      <c r="L218" s="2" t="n">
        <v>48</v>
      </c>
      <c r="M218" s="13">
        <f>L218/(N218+L218+J218+H218+F218)</f>
        <v/>
      </c>
      <c r="N218" s="2" t="n">
        <v>161</v>
      </c>
      <c r="O218" s="13">
        <f>N218/(N218+L218+J218+H218+F218)</f>
        <v/>
      </c>
    </row>
    <row r="219">
      <c r="A219" s="2" t="inlineStr">
        <is>
          <t>NAVEL</t>
        </is>
      </c>
      <c r="B219" s="6" t="n">
        <v>42819</v>
      </c>
      <c r="C219" s="11" t="inlineStr">
        <is>
          <t>10</t>
        </is>
      </c>
      <c r="D219" s="9">
        <f>E219*16</f>
        <v/>
      </c>
      <c r="E219" s="9" t="n">
        <v>82</v>
      </c>
      <c r="F219" s="9" t="n">
        <v>698</v>
      </c>
      <c r="G219" s="4" t="n">
        <v>0.3701</v>
      </c>
      <c r="H219" s="9" t="n">
        <v>633</v>
      </c>
      <c r="I219" s="4" t="n">
        <v>0.33563</v>
      </c>
      <c r="J219" s="9" t="n">
        <v>0</v>
      </c>
      <c r="K219" s="4" t="n">
        <v>0</v>
      </c>
      <c r="L219" s="2" t="n">
        <v>38</v>
      </c>
      <c r="M219" s="13">
        <f>L219/(N219+L219+J219+H219+F219)</f>
        <v/>
      </c>
      <c r="N219" s="2" t="n">
        <v>517</v>
      </c>
      <c r="O219" s="13">
        <f>N219/(N219+L219+J219+H219+F219)</f>
        <v/>
      </c>
    </row>
    <row r="220">
      <c r="A220" s="2" t="inlineStr">
        <is>
          <t>NAVEL</t>
        </is>
      </c>
      <c r="B220" s="6" t="n">
        <v>42801</v>
      </c>
      <c r="C220" s="11" t="inlineStr">
        <is>
          <t>3</t>
        </is>
      </c>
      <c r="D220" s="9">
        <f>E220*16</f>
        <v/>
      </c>
      <c r="E220" s="9" t="n">
        <v>100</v>
      </c>
      <c r="F220" s="9" t="n">
        <v>1351</v>
      </c>
      <c r="G220" s="4" t="n">
        <v>0.58739</v>
      </c>
      <c r="H220" s="9" t="n">
        <v>395</v>
      </c>
      <c r="I220" s="4" t="n">
        <v>0.17174</v>
      </c>
      <c r="J220" s="9" t="n">
        <v>0</v>
      </c>
      <c r="K220" s="4" t="n">
        <v>0</v>
      </c>
      <c r="L220" s="2" t="n">
        <v>46</v>
      </c>
      <c r="M220" s="13">
        <f>L220/(N220+L220+J220+H220+F220)</f>
        <v/>
      </c>
      <c r="N220" s="2" t="n">
        <v>508</v>
      </c>
      <c r="O220" s="13">
        <f>N220/(N220+L220+J220+H220+F220)</f>
        <v/>
      </c>
    </row>
    <row r="221">
      <c r="A221" s="2" t="inlineStr">
        <is>
          <t>NAVEL</t>
        </is>
      </c>
      <c r="B221" s="6" t="n">
        <v>42866</v>
      </c>
      <c r="C221" s="11" t="inlineStr">
        <is>
          <t>3</t>
        </is>
      </c>
      <c r="D221" s="9">
        <f>E221*16</f>
        <v/>
      </c>
      <c r="E221" s="9" t="n">
        <v>150</v>
      </c>
      <c r="F221" s="9" t="n">
        <v>2138</v>
      </c>
      <c r="G221" s="4" t="n">
        <v>0.61971</v>
      </c>
      <c r="H221" s="9" t="n">
        <v>347</v>
      </c>
      <c r="I221" s="4" t="n">
        <v>0.10058</v>
      </c>
      <c r="J221" s="9" t="n">
        <v>0</v>
      </c>
      <c r="K221" s="4" t="n">
        <v>0</v>
      </c>
      <c r="L221" s="2" t="n">
        <v>69</v>
      </c>
      <c r="M221" s="13">
        <f>L221/(N221+L221+J221+H221+F221)</f>
        <v/>
      </c>
      <c r="N221" s="2" t="n">
        <v>896</v>
      </c>
      <c r="O221" s="13">
        <f>N221/(N221+L221+J221+H221+F221)</f>
        <v/>
      </c>
    </row>
    <row r="222">
      <c r="A222" s="2" t="inlineStr">
        <is>
          <t>NAVEL</t>
        </is>
      </c>
      <c r="B222" s="6" t="n">
        <v>42867</v>
      </c>
      <c r="C222" s="11" t="inlineStr">
        <is>
          <t>3</t>
        </is>
      </c>
      <c r="D222" s="9">
        <f>E222*16</f>
        <v/>
      </c>
      <c r="E222" s="9" t="n">
        <v>100</v>
      </c>
      <c r="F222" s="9" t="n">
        <v>1265</v>
      </c>
      <c r="G222" s="4" t="n">
        <v>0.55</v>
      </c>
      <c r="H222" s="9" t="n">
        <v>621</v>
      </c>
      <c r="I222" s="4" t="n">
        <v>0.27</v>
      </c>
      <c r="J222" s="9" t="n">
        <v>0</v>
      </c>
      <c r="K222" s="4" t="n">
        <v>0</v>
      </c>
      <c r="L222" s="2" t="n">
        <v>46</v>
      </c>
      <c r="M222" s="13">
        <f>L222/(N222+L222+J222+H222+F222)</f>
        <v/>
      </c>
      <c r="N222" s="2" t="n">
        <v>368</v>
      </c>
      <c r="O222" s="13">
        <f>N222/(N222+L222+J222+H222+F222)</f>
        <v/>
      </c>
    </row>
    <row r="223">
      <c r="A223" s="2" t="inlineStr">
        <is>
          <t>NAVEL</t>
        </is>
      </c>
      <c r="B223" s="6" t="n">
        <v>42870</v>
      </c>
      <c r="C223" s="11" t="inlineStr">
        <is>
          <t>3</t>
        </is>
      </c>
      <c r="D223" s="9">
        <f>E223*16</f>
        <v/>
      </c>
      <c r="E223" s="9" t="n">
        <v>100</v>
      </c>
      <c r="F223" s="9" t="n">
        <v>1065</v>
      </c>
      <c r="G223" s="4" t="n">
        <v>0.46304</v>
      </c>
      <c r="H223" s="9" t="n">
        <v>544</v>
      </c>
      <c r="I223" s="4" t="n">
        <v>0.23652</v>
      </c>
      <c r="J223" s="9" t="n">
        <v>0</v>
      </c>
      <c r="K223" s="4" t="n">
        <v>0</v>
      </c>
      <c r="L223" s="2" t="n">
        <v>46</v>
      </c>
      <c r="M223" s="13">
        <f>L223/(N223+L223+J223+H223+F223)</f>
        <v/>
      </c>
      <c r="N223" s="2" t="n">
        <v>645</v>
      </c>
      <c r="O223" s="13">
        <f>N223/(N223+L223+J223+H223+F223)</f>
        <v/>
      </c>
    </row>
    <row r="224">
      <c r="A224" s="2" t="inlineStr">
        <is>
          <t>NAVEL</t>
        </is>
      </c>
      <c r="B224" s="6" t="n">
        <v>42871</v>
      </c>
      <c r="C224" s="11" t="inlineStr">
        <is>
          <t>3</t>
        </is>
      </c>
      <c r="D224" s="9">
        <f>E224*16</f>
        <v/>
      </c>
      <c r="E224" s="9" t="n">
        <v>50</v>
      </c>
      <c r="F224" s="9" t="n">
        <v>563</v>
      </c>
      <c r="G224" s="4" t="n">
        <v>0.48957</v>
      </c>
      <c r="H224" s="9" t="n">
        <v>331</v>
      </c>
      <c r="I224" s="4" t="n">
        <v>0.28783</v>
      </c>
      <c r="J224" s="9" t="n">
        <v>0</v>
      </c>
      <c r="K224" s="4" t="n">
        <v>0</v>
      </c>
      <c r="L224" s="2" t="n">
        <v>23</v>
      </c>
      <c r="M224" s="13">
        <f>L224/(N224+L224+J224+H224+F224)</f>
        <v/>
      </c>
      <c r="N224" s="2" t="n">
        <v>233</v>
      </c>
      <c r="O224" s="13">
        <f>N224/(N224+L224+J224+H224+F224)</f>
        <v/>
      </c>
    </row>
    <row r="225">
      <c r="A225" s="2" t="inlineStr">
        <is>
          <t>NAVEL</t>
        </is>
      </c>
      <c r="B225" s="6" t="n">
        <v>42872</v>
      </c>
      <c r="C225" s="11" t="inlineStr">
        <is>
          <t>3</t>
        </is>
      </c>
      <c r="D225" s="9">
        <f>E225*16</f>
        <v/>
      </c>
      <c r="E225" s="9" t="n">
        <v>194</v>
      </c>
      <c r="F225" s="9" t="n">
        <v>1856</v>
      </c>
      <c r="G225" s="4" t="n">
        <v>0.41596</v>
      </c>
      <c r="H225" s="9" t="n">
        <v>1606</v>
      </c>
      <c r="I225" s="4" t="n">
        <v>0.35993</v>
      </c>
      <c r="J225" s="9" t="n">
        <v>0</v>
      </c>
      <c r="K225" s="4" t="n">
        <v>0</v>
      </c>
      <c r="L225" s="2" t="n">
        <v>89</v>
      </c>
      <c r="M225" s="13">
        <f>L225/(N225+L225+J225+H225+F225)</f>
        <v/>
      </c>
      <c r="N225" s="2" t="n">
        <v>911</v>
      </c>
      <c r="O225" s="13">
        <f>N225/(N225+L225+J225+H225+F225)</f>
        <v/>
      </c>
    </row>
    <row r="226">
      <c r="A226" s="2" t="inlineStr">
        <is>
          <t>NAVEL</t>
        </is>
      </c>
      <c r="B226" s="6" t="n">
        <v>42832</v>
      </c>
      <c r="C226" s="11" t="inlineStr">
        <is>
          <t>8</t>
        </is>
      </c>
      <c r="D226" s="9">
        <f>E226*16</f>
        <v/>
      </c>
      <c r="E226" s="9" t="n">
        <v>320</v>
      </c>
      <c r="F226" s="9" t="n">
        <v>5196</v>
      </c>
      <c r="G226" s="4" t="n">
        <v>0.7059800000000001</v>
      </c>
      <c r="H226" s="9" t="n">
        <v>1432</v>
      </c>
      <c r="I226" s="4" t="n">
        <v>0.19457</v>
      </c>
      <c r="J226" s="9" t="n">
        <v>0</v>
      </c>
      <c r="K226" s="4" t="n">
        <v>0</v>
      </c>
      <c r="L226" s="2" t="n">
        <v>147</v>
      </c>
      <c r="M226" s="13">
        <f>L226/(N226+L226+J226+H226+F226)</f>
        <v/>
      </c>
      <c r="N226" s="2" t="n">
        <v>585</v>
      </c>
      <c r="O226" s="13">
        <f>N226/(N226+L226+J226+H226+F226)</f>
        <v/>
      </c>
    </row>
    <row r="227">
      <c r="A227" s="2" t="inlineStr">
        <is>
          <t>NAVEL</t>
        </is>
      </c>
      <c r="B227" s="6" t="n">
        <v>42830</v>
      </c>
      <c r="C227" s="11" t="inlineStr">
        <is>
          <t>8</t>
        </is>
      </c>
      <c r="D227" s="9">
        <f>E227*16</f>
        <v/>
      </c>
      <c r="E227" s="9" t="n">
        <v>166</v>
      </c>
      <c r="F227" s="9" t="n">
        <v>2532</v>
      </c>
      <c r="G227" s="4" t="n">
        <v>0.66317</v>
      </c>
      <c r="H227" s="9" t="n">
        <v>1201</v>
      </c>
      <c r="I227" s="4" t="n">
        <v>0.31456</v>
      </c>
      <c r="J227" s="9" t="n">
        <v>0</v>
      </c>
      <c r="K227" s="4" t="n">
        <v>0</v>
      </c>
      <c r="L227" s="2" t="n">
        <v>76</v>
      </c>
      <c r="M227" s="13">
        <f>L227/(N227+L227+J227+H227+F227)</f>
        <v/>
      </c>
      <c r="N227" s="2" t="n">
        <v>9</v>
      </c>
      <c r="O227" s="13">
        <f>N227/(N227+L227+J227+H227+F227)</f>
        <v/>
      </c>
    </row>
    <row r="228">
      <c r="A228" s="2" t="inlineStr">
        <is>
          <t>CARA-CARA</t>
        </is>
      </c>
      <c r="B228" s="6" t="n">
        <v>42738</v>
      </c>
      <c r="C228" s="11" t="inlineStr">
        <is>
          <t>9</t>
        </is>
      </c>
      <c r="D228" s="9">
        <f>E228*16</f>
        <v/>
      </c>
      <c r="E228" s="9" t="n">
        <v>81</v>
      </c>
      <c r="F228" s="9" t="n">
        <v>548</v>
      </c>
      <c r="G228" s="4" t="n">
        <v>0.29415</v>
      </c>
      <c r="H228" s="9" t="n">
        <v>849</v>
      </c>
      <c r="I228" s="4" t="n">
        <v>0.45572</v>
      </c>
      <c r="J228" s="9" t="n">
        <v>0</v>
      </c>
      <c r="K228" s="4" t="n">
        <v>0</v>
      </c>
      <c r="L228" s="2" t="n">
        <v>0</v>
      </c>
      <c r="M228" s="13">
        <f>L228/(N228+L228+J228+H228+F228)</f>
        <v/>
      </c>
      <c r="N228" s="2" t="n">
        <v>466</v>
      </c>
      <c r="O228" s="13">
        <f>N228/(N228+L228+J228+H228+F228)</f>
        <v/>
      </c>
    </row>
    <row r="229">
      <c r="A229" s="2" t="inlineStr">
        <is>
          <t>NAVEL</t>
        </is>
      </c>
      <c r="B229" s="6" t="n">
        <v>42453</v>
      </c>
      <c r="C229" s="11" t="inlineStr">
        <is>
          <t>1</t>
        </is>
      </c>
      <c r="D229" s="9">
        <f>E229*16</f>
        <v/>
      </c>
      <c r="E229" s="9" t="n">
        <v>160</v>
      </c>
      <c r="F229" s="9" t="n">
        <v>1798</v>
      </c>
      <c r="G229" s="4" t="n">
        <v>0.48859</v>
      </c>
      <c r="H229" s="9" t="n">
        <v>766</v>
      </c>
      <c r="I229" s="4" t="n">
        <v>0.20815</v>
      </c>
      <c r="J229" s="9" t="n">
        <v>0</v>
      </c>
      <c r="K229" s="4" t="n">
        <v>0</v>
      </c>
      <c r="L229" s="2" t="n">
        <v>74</v>
      </c>
      <c r="M229" s="13">
        <f>L229/(N229+L229+J229+H229+F229)</f>
        <v/>
      </c>
      <c r="N229" s="2" t="n">
        <v>1042</v>
      </c>
      <c r="O229" s="13">
        <f>N229/(N229+L229+J229+H229+F229)</f>
        <v/>
      </c>
    </row>
    <row r="230">
      <c r="A230" s="2" t="inlineStr">
        <is>
          <t>NAVEL</t>
        </is>
      </c>
      <c r="B230" s="6" t="n">
        <v>42455</v>
      </c>
      <c r="C230" s="11" t="inlineStr">
        <is>
          <t>1</t>
        </is>
      </c>
      <c r="D230" s="9">
        <f>E230*16</f>
        <v/>
      </c>
      <c r="E230" s="9" t="n">
        <v>137</v>
      </c>
      <c r="F230" s="9" t="n">
        <v>1476</v>
      </c>
      <c r="G230" s="4" t="n">
        <v>0.46842</v>
      </c>
      <c r="H230" s="9" t="n">
        <v>699</v>
      </c>
      <c r="I230" s="4" t="n">
        <v>0.22183</v>
      </c>
      <c r="J230" s="9" t="n">
        <v>0</v>
      </c>
      <c r="K230" s="4" t="n">
        <v>0</v>
      </c>
      <c r="L230" s="2" t="n">
        <v>63</v>
      </c>
      <c r="M230" s="13">
        <f>L230/(N230+L230+J230+H230+F230)</f>
        <v/>
      </c>
      <c r="N230" s="2" t="n">
        <v>913</v>
      </c>
      <c r="O230" s="13">
        <f>N230/(N230+L230+J230+H230+F230)</f>
        <v/>
      </c>
    </row>
    <row r="231">
      <c r="A231" s="2" t="inlineStr">
        <is>
          <t>NAVEL</t>
        </is>
      </c>
      <c r="B231" s="6" t="n">
        <v>42457</v>
      </c>
      <c r="C231" s="11" t="inlineStr">
        <is>
          <t>1</t>
        </is>
      </c>
      <c r="D231" s="9">
        <f>E231*16</f>
        <v/>
      </c>
      <c r="E231" s="9" t="n">
        <v>141</v>
      </c>
      <c r="F231" s="9" t="n">
        <v>1555</v>
      </c>
      <c r="G231" s="4" t="n">
        <v>0.47949</v>
      </c>
      <c r="H231" s="9" t="n">
        <v>652</v>
      </c>
      <c r="I231" s="4" t="n">
        <v>0.20105</v>
      </c>
      <c r="J231" s="9" t="n">
        <v>0</v>
      </c>
      <c r="K231" s="4" t="n">
        <v>0</v>
      </c>
      <c r="L231" s="2" t="n">
        <v>65</v>
      </c>
      <c r="M231" s="13">
        <f>L231/(N231+L231+J231+H231+F231)</f>
        <v/>
      </c>
      <c r="N231" s="2" t="n">
        <v>971</v>
      </c>
      <c r="O231" s="13">
        <f>N231/(N231+L231+J231+H231+F231)</f>
        <v/>
      </c>
    </row>
    <row r="232">
      <c r="A232" s="2" t="inlineStr">
        <is>
          <t>NAVEL</t>
        </is>
      </c>
      <c r="B232" s="6" t="n">
        <v>42458</v>
      </c>
      <c r="C232" s="11" t="inlineStr">
        <is>
          <t>1</t>
        </is>
      </c>
      <c r="D232" s="9">
        <f>E232*16</f>
        <v/>
      </c>
      <c r="E232" s="9" t="n">
        <v>94</v>
      </c>
      <c r="F232" s="9" t="n">
        <v>988</v>
      </c>
      <c r="G232" s="4" t="n">
        <v>0.45698</v>
      </c>
      <c r="H232" s="9" t="n">
        <v>484</v>
      </c>
      <c r="I232" s="4" t="n">
        <v>0.22387</v>
      </c>
      <c r="J232" s="9" t="n">
        <v>0</v>
      </c>
      <c r="K232" s="4" t="n">
        <v>0</v>
      </c>
      <c r="L232" s="2" t="n">
        <v>43</v>
      </c>
      <c r="M232" s="13">
        <f>L232/(N232+L232+J232+H232+F232)</f>
        <v/>
      </c>
      <c r="N232" s="2" t="n">
        <v>647</v>
      </c>
      <c r="O232" s="13">
        <f>N232/(N232+L232+J232+H232+F232)</f>
        <v/>
      </c>
    </row>
    <row r="233">
      <c r="A233" s="2" t="inlineStr">
        <is>
          <t>NAVEL</t>
        </is>
      </c>
      <c r="B233" s="6" t="n">
        <v>42492</v>
      </c>
      <c r="C233" s="11" t="inlineStr">
        <is>
          <t>2</t>
        </is>
      </c>
      <c r="D233" s="9">
        <f>E233*16</f>
        <v/>
      </c>
      <c r="E233" s="9" t="n">
        <v>50</v>
      </c>
      <c r="F233" s="9" t="n">
        <v>376</v>
      </c>
      <c r="G233" s="4" t="n">
        <v>0.32696</v>
      </c>
      <c r="H233" s="9" t="n">
        <v>102</v>
      </c>
      <c r="I233" s="4" t="n">
        <v>0.0887</v>
      </c>
      <c r="J233" s="9" t="n">
        <v>0</v>
      </c>
      <c r="K233" s="4" t="n">
        <v>0</v>
      </c>
      <c r="L233" s="2" t="n">
        <v>23</v>
      </c>
      <c r="M233" s="13">
        <f>L233/(N233+L233+J233+H233+F233)</f>
        <v/>
      </c>
      <c r="N233" s="2" t="n">
        <v>649</v>
      </c>
      <c r="O233" s="13">
        <f>N233/(N233+L233+J233+H233+F233)</f>
        <v/>
      </c>
    </row>
    <row r="234">
      <c r="A234" s="2" t="inlineStr">
        <is>
          <t>NAVEL</t>
        </is>
      </c>
      <c r="B234" s="6" t="n">
        <v>42531</v>
      </c>
      <c r="C234" s="11" t="inlineStr">
        <is>
          <t>2</t>
        </is>
      </c>
      <c r="D234" s="9">
        <f>E234*16</f>
        <v/>
      </c>
      <c r="E234" s="9" t="n">
        <v>204</v>
      </c>
      <c r="F234" s="9" t="n">
        <v>1401</v>
      </c>
      <c r="G234" s="4" t="n">
        <v>0.29859</v>
      </c>
      <c r="H234" s="9" t="n">
        <v>612</v>
      </c>
      <c r="I234" s="4" t="n">
        <v>0.13043</v>
      </c>
      <c r="J234" s="9" t="n">
        <v>0</v>
      </c>
      <c r="K234" s="4" t="n">
        <v>0</v>
      </c>
      <c r="L234" s="2" t="n">
        <v>94</v>
      </c>
      <c r="M234" s="13">
        <f>L234/(N234+L234+J234+H234+F234)</f>
        <v/>
      </c>
      <c r="N234" s="2" t="n">
        <v>2585</v>
      </c>
      <c r="O234" s="13">
        <f>N234/(N234+L234+J234+H234+F234)</f>
        <v/>
      </c>
    </row>
    <row r="235">
      <c r="A235" s="2" t="inlineStr">
        <is>
          <t>NAVEL</t>
        </is>
      </c>
      <c r="B235" s="6" t="n">
        <v>42427</v>
      </c>
      <c r="C235" s="11" t="inlineStr">
        <is>
          <t>3</t>
        </is>
      </c>
      <c r="D235" s="9">
        <f>E235*16</f>
        <v/>
      </c>
      <c r="E235" s="9" t="n">
        <v>44</v>
      </c>
      <c r="F235" s="9" t="n">
        <v>596</v>
      </c>
      <c r="G235" s="4" t="n">
        <v>0.58893</v>
      </c>
      <c r="H235" s="9" t="n">
        <v>43</v>
      </c>
      <c r="I235" s="4" t="n">
        <v>0.04249</v>
      </c>
      <c r="J235" s="9" t="n">
        <v>0</v>
      </c>
      <c r="K235" s="4" t="n">
        <v>0</v>
      </c>
      <c r="L235" s="2" t="n">
        <v>20</v>
      </c>
      <c r="M235" s="13">
        <f>L235/(N235+L235+J235+H235+F235)</f>
        <v/>
      </c>
      <c r="N235" s="2" t="n">
        <v>353</v>
      </c>
      <c r="O235" s="13">
        <f>N235/(N235+L235+J235+H235+F235)</f>
        <v/>
      </c>
    </row>
    <row r="236">
      <c r="A236" s="2" t="inlineStr">
        <is>
          <t>NAVEL</t>
        </is>
      </c>
      <c r="B236" s="6" t="n">
        <v>42430</v>
      </c>
      <c r="C236" s="11" t="inlineStr">
        <is>
          <t>3</t>
        </is>
      </c>
      <c r="D236" s="9">
        <f>E236*16</f>
        <v/>
      </c>
      <c r="E236" s="9" t="n">
        <v>100</v>
      </c>
      <c r="F236" s="9" t="n">
        <v>1303</v>
      </c>
      <c r="G236" s="4" t="n">
        <v>0.56652</v>
      </c>
      <c r="H236" s="9" t="n">
        <v>137</v>
      </c>
      <c r="I236" s="4" t="n">
        <v>0.05957</v>
      </c>
      <c r="J236" s="9" t="n">
        <v>0</v>
      </c>
      <c r="K236" s="4" t="n">
        <v>0</v>
      </c>
      <c r="L236" s="2" t="n">
        <v>46</v>
      </c>
      <c r="M236" s="13">
        <f>L236/(N236+L236+J236+H236+F236)</f>
        <v/>
      </c>
      <c r="N236" s="2" t="n">
        <v>814</v>
      </c>
      <c r="O236" s="13">
        <f>N236/(N236+L236+J236+H236+F236)</f>
        <v/>
      </c>
    </row>
    <row r="237">
      <c r="A237" s="2" t="inlineStr">
        <is>
          <t>NAVEL</t>
        </is>
      </c>
      <c r="B237" s="6" t="n">
        <v>42464</v>
      </c>
      <c r="C237" s="11" t="inlineStr">
        <is>
          <t>3</t>
        </is>
      </c>
      <c r="D237" s="9">
        <f>E237*16</f>
        <v/>
      </c>
      <c r="E237" s="9" t="n">
        <v>250</v>
      </c>
      <c r="F237" s="9" t="n">
        <v>2381</v>
      </c>
      <c r="G237" s="4" t="n">
        <v>0.41409</v>
      </c>
      <c r="H237" s="9" t="n">
        <v>150</v>
      </c>
      <c r="I237" s="4" t="n">
        <v>0.02609</v>
      </c>
      <c r="J237" s="9" t="n">
        <v>0</v>
      </c>
      <c r="K237" s="4" t="n">
        <v>0</v>
      </c>
      <c r="L237" s="2" t="n">
        <v>115</v>
      </c>
      <c r="M237" s="13">
        <f>L237/(N237+L237+J237+H237+F237)</f>
        <v/>
      </c>
      <c r="N237" s="2" t="n">
        <v>3104</v>
      </c>
      <c r="O237" s="13">
        <f>N237/(N237+L237+J237+H237+F237)</f>
        <v/>
      </c>
    </row>
    <row r="238">
      <c r="A238" s="2" t="inlineStr">
        <is>
          <t>NAVEL</t>
        </is>
      </c>
      <c r="B238" s="6" t="n">
        <v>42492</v>
      </c>
      <c r="C238" s="11" t="inlineStr">
        <is>
          <t>3</t>
        </is>
      </c>
      <c r="D238" s="9">
        <f>E238*16</f>
        <v/>
      </c>
      <c r="E238" s="9" t="n">
        <v>241</v>
      </c>
      <c r="F238" s="9" t="n">
        <v>2281</v>
      </c>
      <c r="G238" s="4" t="n">
        <v>0.41151</v>
      </c>
      <c r="H238" s="9" t="n">
        <v>553</v>
      </c>
      <c r="I238" s="4" t="n">
        <v>0.09977</v>
      </c>
      <c r="J238" s="9" t="n">
        <v>0</v>
      </c>
      <c r="K238" s="4" t="n">
        <v>0</v>
      </c>
      <c r="L238" s="2" t="n">
        <v>111</v>
      </c>
      <c r="M238" s="13">
        <f>L238/(N238+L238+J238+H238+F238)</f>
        <v/>
      </c>
      <c r="N238" s="2" t="n">
        <v>2598</v>
      </c>
      <c r="O238" s="13">
        <f>N238/(N238+L238+J238+H238+F238)</f>
        <v/>
      </c>
    </row>
    <row r="239">
      <c r="A239" s="2" t="inlineStr">
        <is>
          <t>NAVEL</t>
        </is>
      </c>
      <c r="B239" s="6" t="n">
        <v>42509</v>
      </c>
      <c r="C239" s="11" t="inlineStr">
        <is>
          <t>8</t>
        </is>
      </c>
      <c r="D239" s="9">
        <f>E239*16</f>
        <v/>
      </c>
      <c r="E239" s="9" t="n">
        <v>116</v>
      </c>
      <c r="F239" s="9" t="n">
        <v>1226</v>
      </c>
      <c r="G239" s="4" t="n">
        <v>0.45952</v>
      </c>
      <c r="H239" s="9" t="n">
        <v>609</v>
      </c>
      <c r="I239" s="4" t="n">
        <v>0.22826</v>
      </c>
      <c r="J239" s="9" t="n">
        <v>0</v>
      </c>
      <c r="K239" s="4" t="n">
        <v>0</v>
      </c>
      <c r="L239" s="2" t="n">
        <v>53</v>
      </c>
      <c r="M239" s="13">
        <f>L239/(N239+L239+J239+H239+F239)</f>
        <v/>
      </c>
      <c r="N239" s="2" t="n">
        <v>780</v>
      </c>
      <c r="O239" s="13">
        <f>N239/(N239+L239+J239+H239+F239)</f>
        <v/>
      </c>
    </row>
    <row r="240">
      <c r="A240" s="2" t="inlineStr">
        <is>
          <t>NAVEL</t>
        </is>
      </c>
      <c r="B240" s="6" t="n">
        <v>42563</v>
      </c>
      <c r="C240" s="11" t="inlineStr">
        <is>
          <t>8</t>
        </is>
      </c>
      <c r="D240" s="9">
        <f>E240*16</f>
        <v/>
      </c>
      <c r="E240" s="9" t="n">
        <v>200</v>
      </c>
      <c r="F240" s="9" t="n">
        <v>1595</v>
      </c>
      <c r="G240" s="4" t="n">
        <v>0.34674</v>
      </c>
      <c r="H240" s="9" t="n">
        <v>1960</v>
      </c>
      <c r="I240" s="4" t="n">
        <v>0.42609</v>
      </c>
      <c r="J240" s="9" t="n">
        <v>0</v>
      </c>
      <c r="K240" s="4" t="n">
        <v>0</v>
      </c>
      <c r="L240" s="2" t="n">
        <v>92</v>
      </c>
      <c r="M240" s="13">
        <f>L240/(N240+L240+J240+H240+F240)</f>
        <v/>
      </c>
      <c r="N240" s="2" t="n">
        <v>953</v>
      </c>
      <c r="O240" s="13">
        <f>N240/(N240+L240+J240+H240+F240)</f>
        <v/>
      </c>
    </row>
    <row r="241">
      <c r="A241" s="2" t="inlineStr">
        <is>
          <t>NAVEL</t>
        </is>
      </c>
      <c r="B241" s="6" t="n">
        <v>42564</v>
      </c>
      <c r="C241" s="11" t="inlineStr">
        <is>
          <t>8</t>
        </is>
      </c>
      <c r="D241" s="9">
        <f>E241*16</f>
        <v/>
      </c>
      <c r="E241" s="9" t="n">
        <v>200</v>
      </c>
      <c r="F241" s="9" t="n">
        <v>1086</v>
      </c>
      <c r="G241" s="4" t="n">
        <v>0.23609</v>
      </c>
      <c r="H241" s="9" t="n">
        <v>2092</v>
      </c>
      <c r="I241" s="4" t="n">
        <v>0.45478</v>
      </c>
      <c r="J241" s="9" t="n">
        <v>0</v>
      </c>
      <c r="K241" s="4" t="n">
        <v>0</v>
      </c>
      <c r="L241" s="2" t="n">
        <v>92</v>
      </c>
      <c r="M241" s="13">
        <f>L241/(N241+L241+J241+H241+F241)</f>
        <v/>
      </c>
      <c r="N241" s="2" t="n">
        <v>1330</v>
      </c>
      <c r="O241" s="13">
        <f>N241/(N241+L241+J241+H241+F241)</f>
        <v/>
      </c>
    </row>
    <row r="242">
      <c r="A242" s="2" t="inlineStr">
        <is>
          <t>NAVEL</t>
        </is>
      </c>
      <c r="B242" s="6" t="n">
        <v>42565</v>
      </c>
      <c r="C242" s="11" t="inlineStr">
        <is>
          <t>8</t>
        </is>
      </c>
      <c r="D242" s="9">
        <f>E242*16</f>
        <v/>
      </c>
      <c r="E242" s="9" t="n">
        <v>246</v>
      </c>
      <c r="F242" s="9" t="n">
        <v>1737</v>
      </c>
      <c r="G242" s="4" t="n">
        <v>0.307</v>
      </c>
      <c r="H242" s="9" t="n">
        <v>2301</v>
      </c>
      <c r="I242" s="4" t="n">
        <v>0.40668</v>
      </c>
      <c r="J242" s="9" t="n">
        <v>0</v>
      </c>
      <c r="K242" s="4" t="n">
        <v>0</v>
      </c>
      <c r="L242" s="2" t="n">
        <v>113</v>
      </c>
      <c r="M242" s="13">
        <f>L242/(N242+L242+J242+H242+F242)</f>
        <v/>
      </c>
      <c r="N242" s="2" t="n">
        <v>1507</v>
      </c>
      <c r="O242" s="13">
        <f>N242/(N242+L242+J242+H242+F242)</f>
        <v/>
      </c>
    </row>
    <row r="243">
      <c r="A243" s="2" t="inlineStr">
        <is>
          <t>CARA-CARA</t>
        </is>
      </c>
      <c r="B243" s="6" t="n">
        <v>42406</v>
      </c>
      <c r="C243" s="11" t="inlineStr">
        <is>
          <t>9</t>
        </is>
      </c>
      <c r="D243" s="9">
        <f>E243*16</f>
        <v/>
      </c>
      <c r="E243" s="9" t="n">
        <v>14</v>
      </c>
      <c r="F243" s="9" t="n">
        <v>204</v>
      </c>
      <c r="G243" s="4" t="n">
        <v>0.63354</v>
      </c>
      <c r="H243" s="9" t="n">
        <v>69</v>
      </c>
      <c r="I243" s="4" t="n">
        <v>0.21429</v>
      </c>
      <c r="J243" s="9" t="n">
        <v>0</v>
      </c>
      <c r="K243" s="4" t="n">
        <v>0</v>
      </c>
      <c r="L243" s="2" t="n">
        <v>0</v>
      </c>
      <c r="M243" s="13">
        <f>L243/(N243+L243+J243+H243+F243)</f>
        <v/>
      </c>
      <c r="N243" s="2" t="n">
        <v>49</v>
      </c>
      <c r="O243" s="13">
        <f>N243/(N243+L243+J243+H243+F243)</f>
        <v/>
      </c>
    </row>
    <row r="244">
      <c r="A244" s="2" t="inlineStr">
        <is>
          <t>NAVEL</t>
        </is>
      </c>
      <c r="B244" s="6" t="n">
        <v>42088</v>
      </c>
      <c r="C244" s="11" t="inlineStr">
        <is>
          <t>1</t>
        </is>
      </c>
      <c r="D244" s="9">
        <f>E244*16</f>
        <v/>
      </c>
      <c r="E244" s="9" t="n">
        <v>120</v>
      </c>
      <c r="F244" s="9" t="n">
        <v>1393</v>
      </c>
      <c r="G244" s="4" t="n">
        <v>0.50471</v>
      </c>
      <c r="H244" s="9" t="n">
        <v>713</v>
      </c>
      <c r="I244" s="4" t="n">
        <v>0.25833</v>
      </c>
      <c r="J244" s="9" t="n">
        <v>0</v>
      </c>
      <c r="K244" s="4" t="n">
        <v>0</v>
      </c>
      <c r="L244" s="2" t="n">
        <v>55</v>
      </c>
      <c r="M244" s="13">
        <f>L244/(N244+L244+J244+H244+F244)</f>
        <v/>
      </c>
      <c r="N244" s="2" t="n">
        <v>599</v>
      </c>
      <c r="O244" s="13">
        <f>N244/(N244+L244+J244+H244+F244)</f>
        <v/>
      </c>
    </row>
    <row r="245">
      <c r="A245" s="2" t="inlineStr">
        <is>
          <t>NAVEL</t>
        </is>
      </c>
      <c r="B245" s="6" t="n">
        <v>42087</v>
      </c>
      <c r="C245" s="11" t="inlineStr">
        <is>
          <t>1</t>
        </is>
      </c>
      <c r="D245" s="9">
        <f>E245*16</f>
        <v/>
      </c>
      <c r="E245" s="9" t="n">
        <v>148</v>
      </c>
      <c r="F245" s="9" t="n">
        <v>1556</v>
      </c>
      <c r="G245" s="4" t="n">
        <v>0.45711</v>
      </c>
      <c r="H245" s="9" t="n">
        <v>1072</v>
      </c>
      <c r="I245" s="4" t="n">
        <v>0.31492</v>
      </c>
      <c r="J245" s="9" t="n">
        <v>0</v>
      </c>
      <c r="K245" s="4" t="n">
        <v>0</v>
      </c>
      <c r="L245" s="2" t="n">
        <v>68</v>
      </c>
      <c r="M245" s="13">
        <f>L245/(N245+L245+J245+H245+F245)</f>
        <v/>
      </c>
      <c r="N245" s="2" t="n">
        <v>708</v>
      </c>
      <c r="O245" s="13">
        <f>N245/(N245+L245+J245+H245+F245)</f>
        <v/>
      </c>
    </row>
    <row r="246">
      <c r="A246" s="2" t="inlineStr">
        <is>
          <t>NAVEL</t>
        </is>
      </c>
      <c r="B246" s="6" t="n">
        <v>42089</v>
      </c>
      <c r="C246" s="11" t="inlineStr">
        <is>
          <t>2</t>
        </is>
      </c>
      <c r="D246" s="9">
        <f>E246*16</f>
        <v/>
      </c>
      <c r="E246" s="9" t="n">
        <v>100</v>
      </c>
      <c r="F246" s="9" t="n">
        <v>1100</v>
      </c>
      <c r="G246" s="4" t="n">
        <v>0.47826</v>
      </c>
      <c r="H246" s="9" t="n">
        <v>658</v>
      </c>
      <c r="I246" s="4" t="n">
        <v>0.28609</v>
      </c>
      <c r="J246" s="9" t="n">
        <v>0</v>
      </c>
      <c r="K246" s="4" t="n">
        <v>0</v>
      </c>
      <c r="L246" s="2" t="n">
        <v>46</v>
      </c>
      <c r="M246" s="13">
        <f>L246/(N246+L246+J246+H246+F246)</f>
        <v/>
      </c>
      <c r="N246" s="2" t="n">
        <v>496</v>
      </c>
      <c r="O246" s="13">
        <f>N246/(N246+L246+J246+H246+F246)</f>
        <v/>
      </c>
    </row>
    <row r="247">
      <c r="A247" s="2" t="inlineStr">
        <is>
          <t>NAVEL</t>
        </is>
      </c>
      <c r="B247" s="6" t="n">
        <v>42088</v>
      </c>
      <c r="C247" s="11" t="inlineStr">
        <is>
          <t>2</t>
        </is>
      </c>
      <c r="D247" s="9">
        <f>E247*16</f>
        <v/>
      </c>
      <c r="E247" s="9" t="n">
        <v>50</v>
      </c>
      <c r="F247" s="9" t="n">
        <v>617</v>
      </c>
      <c r="G247" s="4" t="n">
        <v>0.53652</v>
      </c>
      <c r="H247" s="9" t="n">
        <v>226</v>
      </c>
      <c r="I247" s="4" t="n">
        <v>0.19652</v>
      </c>
      <c r="J247" s="9" t="n">
        <v>0</v>
      </c>
      <c r="K247" s="4" t="n">
        <v>0</v>
      </c>
      <c r="L247" s="2" t="n">
        <v>23</v>
      </c>
      <c r="M247" s="13">
        <f>L247/(N247+L247+J247+H247+F247)</f>
        <v/>
      </c>
      <c r="N247" s="2" t="n">
        <v>284</v>
      </c>
      <c r="O247" s="13">
        <f>N247/(N247+L247+J247+H247+F247)</f>
        <v/>
      </c>
    </row>
    <row r="248">
      <c r="A248" s="2" t="inlineStr">
        <is>
          <t>NAVEL</t>
        </is>
      </c>
      <c r="B248" s="6" t="n">
        <v>42089</v>
      </c>
      <c r="C248" s="11" t="inlineStr">
        <is>
          <t>3</t>
        </is>
      </c>
      <c r="D248" s="9">
        <f>E248*16</f>
        <v/>
      </c>
      <c r="E248" s="9" t="n">
        <v>147</v>
      </c>
      <c r="F248" s="9" t="n">
        <v>1568</v>
      </c>
      <c r="G248" s="4" t="n">
        <v>0.46377</v>
      </c>
      <c r="H248" s="9" t="n">
        <v>791</v>
      </c>
      <c r="I248" s="4" t="n">
        <v>0.23395</v>
      </c>
      <c r="J248" s="9" t="n">
        <v>0</v>
      </c>
      <c r="K248" s="4" t="n">
        <v>0</v>
      </c>
      <c r="L248" s="2" t="n">
        <v>68</v>
      </c>
      <c r="M248" s="13">
        <f>L248/(N248+L248+J248+H248+F248)</f>
        <v/>
      </c>
      <c r="N248" s="2" t="n">
        <v>954</v>
      </c>
      <c r="O248" s="13">
        <f>N248/(N248+L248+J248+H248+F248)</f>
        <v/>
      </c>
    </row>
    <row r="249">
      <c r="A249" s="2" t="inlineStr">
        <is>
          <t>NAVEL</t>
        </is>
      </c>
      <c r="B249" s="6" t="n">
        <v>42091</v>
      </c>
      <c r="C249" s="11" t="inlineStr">
        <is>
          <t>3</t>
        </is>
      </c>
      <c r="D249" s="9">
        <f>E249*16</f>
        <v/>
      </c>
      <c r="E249" s="9" t="n">
        <v>48</v>
      </c>
      <c r="F249" s="9" t="n">
        <v>552</v>
      </c>
      <c r="G249" s="4" t="n">
        <v>0.5</v>
      </c>
      <c r="H249" s="9" t="n">
        <v>290</v>
      </c>
      <c r="I249" s="4" t="n">
        <v>0.26268</v>
      </c>
      <c r="J249" s="9" t="n">
        <v>0</v>
      </c>
      <c r="K249" s="4" t="n">
        <v>0</v>
      </c>
      <c r="L249" s="2" t="n">
        <v>22</v>
      </c>
      <c r="M249" s="13">
        <f>L249/(N249+L249+J249+H249+F249)</f>
        <v/>
      </c>
      <c r="N249" s="2" t="n">
        <v>240</v>
      </c>
      <c r="O249" s="13">
        <f>N249/(N249+L249+J249+H249+F249)</f>
        <v/>
      </c>
    </row>
    <row r="250">
      <c r="A250" s="2" t="inlineStr">
        <is>
          <t>NAVEL</t>
        </is>
      </c>
      <c r="B250" s="6" t="n">
        <v>42090</v>
      </c>
      <c r="C250" s="11" t="inlineStr">
        <is>
          <t>3</t>
        </is>
      </c>
      <c r="D250" s="9">
        <f>E250*16</f>
        <v/>
      </c>
      <c r="E250" s="9" t="n">
        <v>290</v>
      </c>
      <c r="F250" s="9" t="n">
        <v>3056</v>
      </c>
      <c r="G250" s="4" t="n">
        <v>0.45817</v>
      </c>
      <c r="H250" s="9" t="n">
        <v>1949</v>
      </c>
      <c r="I250" s="4" t="n">
        <v>0.2922</v>
      </c>
      <c r="J250" s="9" t="n">
        <v>0</v>
      </c>
      <c r="K250" s="4" t="n">
        <v>0</v>
      </c>
      <c r="L250" s="2" t="n">
        <v>133</v>
      </c>
      <c r="M250" s="13">
        <f>L250/(N250+L250+J250+H250+F250)</f>
        <v/>
      </c>
      <c r="N250" s="2" t="n">
        <v>1532</v>
      </c>
      <c r="O250" s="13">
        <f>N250/(N250+L250+J250+H250+F250)</f>
        <v/>
      </c>
    </row>
    <row r="251">
      <c r="A251" s="2" t="inlineStr">
        <is>
          <t>NAVEL</t>
        </is>
      </c>
      <c r="B251" s="6" t="n">
        <v>42095</v>
      </c>
      <c r="C251" s="11" t="inlineStr">
        <is>
          <t>8</t>
        </is>
      </c>
      <c r="D251" s="9">
        <f>E251*16</f>
        <v/>
      </c>
      <c r="E251" s="9" t="n">
        <v>200</v>
      </c>
      <c r="F251" s="9" t="n">
        <v>2477</v>
      </c>
      <c r="G251" s="4" t="n">
        <v>0.53848</v>
      </c>
      <c r="H251" s="9" t="n">
        <v>1541</v>
      </c>
      <c r="I251" s="4" t="n">
        <v>0.335</v>
      </c>
      <c r="J251" s="9" t="n">
        <v>0</v>
      </c>
      <c r="K251" s="4" t="n">
        <v>0</v>
      </c>
      <c r="L251" s="2" t="n">
        <v>92</v>
      </c>
      <c r="M251" s="13">
        <f>L251/(N251+L251+J251+H251+F251)</f>
        <v/>
      </c>
      <c r="N251" s="2" t="n">
        <v>490</v>
      </c>
      <c r="O251" s="13">
        <f>N251/(N251+L251+J251+H251+F251)</f>
        <v/>
      </c>
    </row>
    <row r="252">
      <c r="A252" s="2" t="inlineStr">
        <is>
          <t>NAVEL</t>
        </is>
      </c>
      <c r="B252" s="6" t="n">
        <v>42096</v>
      </c>
      <c r="C252" s="11" t="inlineStr">
        <is>
          <t>8</t>
        </is>
      </c>
      <c r="D252" s="9">
        <f>E252*16</f>
        <v/>
      </c>
      <c r="E252" s="9" t="n">
        <v>384</v>
      </c>
      <c r="F252" s="9" t="n">
        <v>4296</v>
      </c>
      <c r="G252" s="4" t="n">
        <v>0.48641</v>
      </c>
      <c r="H252" s="9" t="n">
        <v>3430</v>
      </c>
      <c r="I252" s="4" t="n">
        <v>0.38836</v>
      </c>
      <c r="J252" s="9" t="n">
        <v>0</v>
      </c>
      <c r="K252" s="4" t="n">
        <v>0</v>
      </c>
      <c r="L252" s="2" t="n">
        <v>177</v>
      </c>
      <c r="M252" s="13">
        <f>L252/(N252+L252+J252+H252+F252)</f>
        <v/>
      </c>
      <c r="N252" s="2" t="n">
        <v>929</v>
      </c>
      <c r="O252" s="13">
        <f>N252/(N252+L252+J252+H252+F252)</f>
        <v/>
      </c>
    </row>
    <row r="253">
      <c r="A253" s="2" t="inlineStr">
        <is>
          <t>NAVEL</t>
        </is>
      </c>
      <c r="B253" s="6" t="n">
        <v>41717</v>
      </c>
      <c r="C253" s="11" t="inlineStr">
        <is>
          <t>1</t>
        </is>
      </c>
      <c r="D253" s="9">
        <f>E253*16</f>
        <v/>
      </c>
      <c r="E253" s="9" t="n">
        <v>200</v>
      </c>
      <c r="F253" s="9" t="n">
        <v>2241</v>
      </c>
      <c r="G253" s="4" t="n">
        <v>0.48717</v>
      </c>
      <c r="H253" s="9" t="n">
        <v>1047</v>
      </c>
      <c r="I253" s="4" t="n">
        <v>0.22761</v>
      </c>
      <c r="J253" s="9" t="n">
        <v>0</v>
      </c>
      <c r="K253" s="4" t="n">
        <v>0</v>
      </c>
      <c r="L253" s="2" t="n">
        <v>92</v>
      </c>
      <c r="M253" s="13">
        <f>L253/(N253+L253+J253+H253+F253)</f>
        <v/>
      </c>
      <c r="N253" s="2" t="n">
        <v>1220</v>
      </c>
      <c r="O253" s="13">
        <f>N253/(N253+L253+J253+H253+F253)</f>
        <v/>
      </c>
    </row>
    <row r="254">
      <c r="A254" s="2" t="inlineStr">
        <is>
          <t>NAVEL</t>
        </is>
      </c>
      <c r="B254" s="6" t="n">
        <v>41719</v>
      </c>
      <c r="C254" s="11" t="inlineStr">
        <is>
          <t>1</t>
        </is>
      </c>
      <c r="D254" s="9">
        <f>E254*16</f>
        <v/>
      </c>
      <c r="E254" s="9" t="n">
        <v>100</v>
      </c>
      <c r="F254" s="9" t="n">
        <v>1176</v>
      </c>
      <c r="G254" s="4" t="n">
        <v>0.5113</v>
      </c>
      <c r="H254" s="9" t="n">
        <v>453</v>
      </c>
      <c r="I254" s="4" t="n">
        <v>0.19696</v>
      </c>
      <c r="J254" s="9" t="n">
        <v>0</v>
      </c>
      <c r="K254" s="4" t="n">
        <v>0</v>
      </c>
      <c r="L254" s="2" t="n">
        <v>46</v>
      </c>
      <c r="M254" s="13">
        <f>L254/(N254+L254+J254+H254+F254)</f>
        <v/>
      </c>
      <c r="N254" s="2" t="n">
        <v>625</v>
      </c>
      <c r="O254" s="13">
        <f>N254/(N254+L254+J254+H254+F254)</f>
        <v/>
      </c>
    </row>
    <row r="255">
      <c r="A255" s="2" t="inlineStr">
        <is>
          <t>NAVEL</t>
        </is>
      </c>
      <c r="B255" s="6" t="n">
        <v>41786</v>
      </c>
      <c r="C255" s="11" t="inlineStr">
        <is>
          <t>1</t>
        </is>
      </c>
      <c r="D255" s="9">
        <f>E255*16</f>
        <v/>
      </c>
      <c r="E255" s="9" t="n">
        <v>50</v>
      </c>
      <c r="F255" s="9" t="n">
        <v>682</v>
      </c>
      <c r="G255" s="4" t="n">
        <v>0.59304</v>
      </c>
      <c r="H255" s="9" t="n">
        <v>181</v>
      </c>
      <c r="I255" s="4" t="n">
        <v>0.15739</v>
      </c>
      <c r="J255" s="9" t="n">
        <v>0</v>
      </c>
      <c r="K255" s="4" t="n">
        <v>0</v>
      </c>
      <c r="L255" s="2" t="n">
        <v>23</v>
      </c>
      <c r="M255" s="13">
        <f>L255/(N255+L255+J255+H255+F255)</f>
        <v/>
      </c>
      <c r="N255" s="2" t="n">
        <v>264</v>
      </c>
      <c r="O255" s="13">
        <f>N255/(N255+L255+J255+H255+F255)</f>
        <v/>
      </c>
    </row>
    <row r="256">
      <c r="A256" s="2" t="inlineStr">
        <is>
          <t>NAVEL</t>
        </is>
      </c>
      <c r="B256" s="6" t="n">
        <v>41712</v>
      </c>
      <c r="C256" s="11" t="inlineStr">
        <is>
          <t>2</t>
        </is>
      </c>
      <c r="D256" s="9">
        <f>E256*16</f>
        <v/>
      </c>
      <c r="E256" s="9" t="n">
        <v>26</v>
      </c>
      <c r="F256" s="9" t="n">
        <v>322</v>
      </c>
      <c r="G256" s="4" t="n">
        <v>0.53846</v>
      </c>
      <c r="H256" s="9" t="n">
        <v>36</v>
      </c>
      <c r="I256" s="4" t="n">
        <v>0.0602</v>
      </c>
      <c r="J256" s="9" t="n">
        <v>3</v>
      </c>
      <c r="K256" s="4" t="n">
        <v>0.00502</v>
      </c>
      <c r="L256" s="2" t="n">
        <v>12</v>
      </c>
      <c r="M256" s="13">
        <f>L256/(N256+L256+J256+H256+F256)</f>
        <v/>
      </c>
      <c r="N256" s="2" t="n">
        <v>225</v>
      </c>
      <c r="O256" s="13">
        <f>N256/(N256+L256+J256+H256+F256)</f>
        <v/>
      </c>
    </row>
    <row r="257">
      <c r="A257" s="2" t="inlineStr">
        <is>
          <t>NAVEL</t>
        </is>
      </c>
      <c r="B257" s="6" t="n">
        <v>41786</v>
      </c>
      <c r="C257" s="11" t="inlineStr">
        <is>
          <t>2</t>
        </is>
      </c>
      <c r="D257" s="9">
        <f>E257*16</f>
        <v/>
      </c>
      <c r="E257" s="9" t="n">
        <v>97</v>
      </c>
      <c r="F257" s="9" t="n">
        <v>1400</v>
      </c>
      <c r="G257" s="4" t="n">
        <v>0.62752</v>
      </c>
      <c r="H257" s="9" t="n">
        <v>305</v>
      </c>
      <c r="I257" s="4" t="n">
        <v>0.13671</v>
      </c>
      <c r="J257" s="9" t="n">
        <v>0</v>
      </c>
      <c r="K257" s="4" t="n">
        <v>0</v>
      </c>
      <c r="L257" s="2" t="n">
        <v>45</v>
      </c>
      <c r="M257" s="13">
        <f>L257/(N257+L257+J257+H257+F257)</f>
        <v/>
      </c>
      <c r="N257" s="2" t="n">
        <v>481</v>
      </c>
      <c r="O257" s="13">
        <f>N257/(N257+L257+J257+H257+F257)</f>
        <v/>
      </c>
    </row>
    <row r="258">
      <c r="A258" s="2" t="inlineStr">
        <is>
          <t>NAVEL</t>
        </is>
      </c>
      <c r="B258" s="6" t="n">
        <v>41787</v>
      </c>
      <c r="C258" s="11" t="inlineStr">
        <is>
          <t>2</t>
        </is>
      </c>
      <c r="D258" s="9">
        <f>E258*16</f>
        <v/>
      </c>
      <c r="E258" s="9" t="n">
        <v>85</v>
      </c>
      <c r="F258" s="9" t="n">
        <v>1191</v>
      </c>
      <c r="G258" s="4" t="n">
        <v>0.60921</v>
      </c>
      <c r="H258" s="9" t="n">
        <v>392</v>
      </c>
      <c r="I258" s="4" t="n">
        <v>0.20051</v>
      </c>
      <c r="J258" s="9" t="n">
        <v>0</v>
      </c>
      <c r="K258" s="4" t="n">
        <v>0</v>
      </c>
      <c r="L258" s="2" t="n">
        <v>39</v>
      </c>
      <c r="M258" s="13">
        <f>L258/(N258+L258+J258+H258+F258)</f>
        <v/>
      </c>
      <c r="N258" s="2" t="n">
        <v>333</v>
      </c>
      <c r="O258" s="13">
        <f>N258/(N258+L258+J258+H258+F258)</f>
        <v/>
      </c>
    </row>
    <row r="259">
      <c r="A259" s="2" t="inlineStr">
        <is>
          <t>NAVEL</t>
        </is>
      </c>
      <c r="B259" s="6" t="n">
        <v>41690</v>
      </c>
      <c r="C259" s="11" t="inlineStr">
        <is>
          <t>3</t>
        </is>
      </c>
      <c r="D259" s="9">
        <f>E259*16</f>
        <v/>
      </c>
      <c r="E259" s="9" t="n">
        <v>200</v>
      </c>
      <c r="F259" s="9" t="n">
        <v>2626</v>
      </c>
      <c r="G259" s="4" t="n">
        <v>0.57087</v>
      </c>
      <c r="H259" s="9" t="n">
        <v>991</v>
      </c>
      <c r="I259" s="4" t="n">
        <v>0.21543</v>
      </c>
      <c r="J259" s="9" t="n">
        <v>0</v>
      </c>
      <c r="K259" s="4" t="n">
        <v>0</v>
      </c>
      <c r="L259" s="2" t="n">
        <v>92</v>
      </c>
      <c r="M259" s="13">
        <f>L259/(N259+L259+J259+H259+F259)</f>
        <v/>
      </c>
      <c r="N259" s="2" t="n">
        <v>891</v>
      </c>
      <c r="O259" s="13">
        <f>N259/(N259+L259+J259+H259+F259)</f>
        <v/>
      </c>
    </row>
    <row r="260">
      <c r="A260" s="2" t="inlineStr">
        <is>
          <t>NAVEL</t>
        </is>
      </c>
      <c r="B260" s="6" t="n">
        <v>41696</v>
      </c>
      <c r="C260" s="11" t="inlineStr">
        <is>
          <t>3</t>
        </is>
      </c>
      <c r="D260" s="9">
        <f>E260*16</f>
        <v/>
      </c>
      <c r="E260" s="9" t="n">
        <v>185</v>
      </c>
      <c r="F260" s="9" t="n">
        <v>2332</v>
      </c>
      <c r="G260" s="4" t="n">
        <v>0.54806</v>
      </c>
      <c r="H260" s="9" t="n">
        <v>1025</v>
      </c>
      <c r="I260" s="4" t="n">
        <v>0.24089</v>
      </c>
      <c r="J260" s="9" t="n">
        <v>0</v>
      </c>
      <c r="K260" s="4" t="n">
        <v>0</v>
      </c>
      <c r="L260" s="2" t="n">
        <v>85</v>
      </c>
      <c r="M260" s="13">
        <f>L260/(N260+L260+J260+H260+F260)</f>
        <v/>
      </c>
      <c r="N260" s="2" t="n">
        <v>813</v>
      </c>
      <c r="O260" s="13">
        <f>N260/(N260+L260+J260+H260+F260)</f>
        <v/>
      </c>
    </row>
    <row r="261">
      <c r="A261" s="2" t="inlineStr">
        <is>
          <t>NAVEL</t>
        </is>
      </c>
      <c r="B261" s="6" t="n">
        <v>41705</v>
      </c>
      <c r="C261" s="11" t="inlineStr">
        <is>
          <t>3</t>
        </is>
      </c>
      <c r="D261" s="9">
        <f>E261*16</f>
        <v/>
      </c>
      <c r="E261" s="9" t="n">
        <v>141</v>
      </c>
      <c r="F261" s="9" t="n">
        <v>1909</v>
      </c>
      <c r="G261" s="4" t="n">
        <v>0.58865</v>
      </c>
      <c r="H261" s="9" t="n">
        <v>721</v>
      </c>
      <c r="I261" s="4" t="n">
        <v>0.22233</v>
      </c>
      <c r="J261" s="9" t="n">
        <v>0</v>
      </c>
      <c r="K261" s="4" t="n">
        <v>0</v>
      </c>
      <c r="L261" s="2" t="n">
        <v>65</v>
      </c>
      <c r="M261" s="13">
        <f>L261/(N261+L261+J261+H261+F261)</f>
        <v/>
      </c>
      <c r="N261" s="2" t="n">
        <v>548</v>
      </c>
      <c r="O261" s="13">
        <f>N261/(N261+L261+J261+H261+F261)</f>
        <v/>
      </c>
    </row>
    <row r="262">
      <c r="A262" s="2" t="inlineStr">
        <is>
          <t>NAVEL</t>
        </is>
      </c>
      <c r="B262" s="6" t="n">
        <v>41712</v>
      </c>
      <c r="C262" s="11" t="inlineStr">
        <is>
          <t>3</t>
        </is>
      </c>
      <c r="D262" s="9">
        <f>E262*16</f>
        <v/>
      </c>
      <c r="E262" s="9" t="n">
        <v>74</v>
      </c>
      <c r="F262" s="9" t="n">
        <v>1060</v>
      </c>
      <c r="G262" s="4" t="n">
        <v>0.6228</v>
      </c>
      <c r="H262" s="9" t="n">
        <v>95</v>
      </c>
      <c r="I262" s="4" t="n">
        <v>0.05582</v>
      </c>
      <c r="J262" s="9" t="n">
        <v>12</v>
      </c>
      <c r="K262" s="4" t="n">
        <v>0.00705</v>
      </c>
      <c r="L262" s="2" t="n">
        <v>34</v>
      </c>
      <c r="M262" s="13">
        <f>L262/(N262+L262+J262+H262+F262)</f>
        <v/>
      </c>
      <c r="N262" s="2" t="n">
        <v>501</v>
      </c>
      <c r="O262" s="13">
        <f>N262/(N262+L262+J262+H262+F262)</f>
        <v/>
      </c>
    </row>
    <row r="263">
      <c r="A263" s="2" t="inlineStr">
        <is>
          <t>NAVEL</t>
        </is>
      </c>
      <c r="B263" s="6" t="n">
        <v>41750</v>
      </c>
      <c r="C263" s="11" t="inlineStr">
        <is>
          <t>8</t>
        </is>
      </c>
      <c r="D263" s="9">
        <f>E263*16</f>
        <v/>
      </c>
      <c r="E263" s="9" t="n">
        <v>514</v>
      </c>
      <c r="F263" s="9" t="n">
        <v>6008</v>
      </c>
      <c r="G263" s="4" t="n">
        <v>0.5082100000000001</v>
      </c>
      <c r="H263" s="9" t="n">
        <v>3699</v>
      </c>
      <c r="I263" s="4" t="n">
        <v>0.31289</v>
      </c>
      <c r="J263" s="9" t="n">
        <v>0</v>
      </c>
      <c r="K263" s="4" t="n">
        <v>0</v>
      </c>
      <c r="L263" s="2" t="n">
        <v>236</v>
      </c>
      <c r="M263" s="13">
        <f>L263/(N263+L263+J263+H263+F263)</f>
        <v/>
      </c>
      <c r="N263" s="2" t="n">
        <v>1879</v>
      </c>
      <c r="O263" s="13">
        <f>N263/(N263+L263+J263+H263+F263)</f>
        <v/>
      </c>
    </row>
    <row r="264">
      <c r="A264" s="2" t="inlineStr">
        <is>
          <t>NAVEL</t>
        </is>
      </c>
      <c r="B264" s="6" t="n">
        <v>41346</v>
      </c>
      <c r="C264" s="11" t="inlineStr">
        <is>
          <t>1</t>
        </is>
      </c>
      <c r="D264" s="9">
        <f>E264*16</f>
        <v/>
      </c>
      <c r="E264" s="9" t="n">
        <v>255</v>
      </c>
      <c r="F264" s="9" t="n">
        <v>3592</v>
      </c>
      <c r="G264" s="4" t="n">
        <v>0.58693</v>
      </c>
      <c r="H264" s="9" t="n">
        <v>1162</v>
      </c>
      <c r="I264" s="4" t="n">
        <v>0.18987</v>
      </c>
      <c r="J264" s="9" t="n">
        <v>0</v>
      </c>
      <c r="K264" s="4" t="n">
        <v>0</v>
      </c>
      <c r="L264" s="2" t="n">
        <v>122</v>
      </c>
      <c r="M264" s="13">
        <f>L264/(N264+L264+J264+H264+F264)</f>
        <v/>
      </c>
      <c r="N264" s="2" t="n">
        <v>1244</v>
      </c>
      <c r="O264" s="13">
        <f>N264/(N264+L264+J264+H264+F264)</f>
        <v/>
      </c>
    </row>
    <row r="265">
      <c r="A265" s="2" t="inlineStr">
        <is>
          <t>NAVEL</t>
        </is>
      </c>
      <c r="B265" s="6" t="n">
        <v>41347</v>
      </c>
      <c r="C265" s="11" t="inlineStr">
        <is>
          <t>1</t>
        </is>
      </c>
      <c r="D265" s="9">
        <f>E265*16</f>
        <v/>
      </c>
      <c r="E265" s="9" t="n">
        <v>52</v>
      </c>
      <c r="F265" s="9" t="n">
        <v>724</v>
      </c>
      <c r="G265" s="4" t="n">
        <v>0.58013</v>
      </c>
      <c r="H265" s="9" t="n">
        <v>322</v>
      </c>
      <c r="I265" s="4" t="n">
        <v>0.25801</v>
      </c>
      <c r="J265" s="9" t="n">
        <v>0</v>
      </c>
      <c r="K265" s="4" t="n">
        <v>0</v>
      </c>
      <c r="L265" s="2" t="n">
        <v>25</v>
      </c>
      <c r="M265" s="13">
        <f>L265/(N265+L265+J265+H265+F265)</f>
        <v/>
      </c>
      <c r="N265" s="2" t="n">
        <v>177</v>
      </c>
      <c r="O265" s="13">
        <f>N265/(N265+L265+J265+H265+F265)</f>
        <v/>
      </c>
    </row>
    <row r="266">
      <c r="A266" s="2" t="inlineStr">
        <is>
          <t>NAVEL</t>
        </is>
      </c>
      <c r="B266" s="6" t="n">
        <v>41347</v>
      </c>
      <c r="C266" s="11" t="inlineStr">
        <is>
          <t>2</t>
        </is>
      </c>
      <c r="D266" s="9">
        <f>E266*16</f>
        <v/>
      </c>
      <c r="E266" s="9" t="n">
        <v>52</v>
      </c>
      <c r="F266" s="9" t="n">
        <v>644</v>
      </c>
      <c r="G266" s="4" t="n">
        <v>0.51603</v>
      </c>
      <c r="H266" s="9" t="n">
        <v>350</v>
      </c>
      <c r="I266" s="4" t="n">
        <v>0.28045</v>
      </c>
      <c r="J266" s="9" t="n">
        <v>0</v>
      </c>
      <c r="K266" s="4" t="n">
        <v>0</v>
      </c>
      <c r="L266" s="2" t="n">
        <v>25</v>
      </c>
      <c r="M266" s="13">
        <f>L266/(N266+L266+J266+H266+F266)</f>
        <v/>
      </c>
      <c r="N266" s="2" t="n">
        <v>229</v>
      </c>
      <c r="O266" s="13">
        <f>N266/(N266+L266+J266+H266+F266)</f>
        <v/>
      </c>
    </row>
    <row r="267">
      <c r="A267" s="2" t="inlineStr">
        <is>
          <t>NAVEL</t>
        </is>
      </c>
      <c r="B267" s="6" t="n">
        <v>41349</v>
      </c>
      <c r="C267" s="11" t="inlineStr">
        <is>
          <t>2</t>
        </is>
      </c>
      <c r="D267" s="9">
        <f>E267*16</f>
        <v/>
      </c>
      <c r="E267" s="9" t="n">
        <v>80</v>
      </c>
      <c r="F267" s="9" t="n">
        <v>984</v>
      </c>
      <c r="G267" s="4" t="n">
        <v>0.5125</v>
      </c>
      <c r="H267" s="9" t="n">
        <v>537</v>
      </c>
      <c r="I267" s="4" t="n">
        <v>0.27969</v>
      </c>
      <c r="J267" s="9" t="n">
        <v>0</v>
      </c>
      <c r="K267" s="4" t="n">
        <v>0</v>
      </c>
      <c r="L267" s="2" t="n">
        <v>38</v>
      </c>
      <c r="M267" s="13">
        <f>L267/(N267+L267+J267+H267+F267)</f>
        <v/>
      </c>
      <c r="N267" s="2" t="n">
        <v>361</v>
      </c>
      <c r="O267" s="13">
        <f>N267/(N267+L267+J267+H267+F267)</f>
        <v/>
      </c>
    </row>
    <row r="268">
      <c r="A268" s="2" t="inlineStr">
        <is>
          <t>NAVEL</t>
        </is>
      </c>
      <c r="B268" s="6" t="n">
        <v>41351</v>
      </c>
      <c r="C268" s="11" t="inlineStr">
        <is>
          <t>3</t>
        </is>
      </c>
      <c r="D268" s="9">
        <f>E268*16</f>
        <v/>
      </c>
      <c r="E268" s="9" t="n">
        <v>70</v>
      </c>
      <c r="F268" s="9" t="n">
        <v>913</v>
      </c>
      <c r="G268" s="4" t="n">
        <v>0.54345</v>
      </c>
      <c r="H268" s="9" t="n">
        <v>483</v>
      </c>
      <c r="I268" s="4" t="n">
        <v>0.2875</v>
      </c>
      <c r="J268" s="9" t="n">
        <v>0</v>
      </c>
      <c r="K268" s="4" t="n">
        <v>0</v>
      </c>
      <c r="L268" s="2" t="n">
        <v>34</v>
      </c>
      <c r="M268" s="13">
        <f>L268/(N268+L268+J268+H268+F268)</f>
        <v/>
      </c>
      <c r="N268" s="2" t="n">
        <v>250</v>
      </c>
      <c r="O268" s="13">
        <f>N268/(N268+L268+J268+H268+F268)</f>
        <v/>
      </c>
    </row>
    <row r="269">
      <c r="A269" s="2" t="inlineStr">
        <is>
          <t>NAVEL</t>
        </is>
      </c>
      <c r="B269" s="6" t="n">
        <v>41356</v>
      </c>
      <c r="C269" s="11" t="inlineStr">
        <is>
          <t>3</t>
        </is>
      </c>
      <c r="D269" s="9">
        <f>E269*16</f>
        <v/>
      </c>
      <c r="E269" s="9" t="n">
        <v>192</v>
      </c>
      <c r="F269" s="9" t="n">
        <v>2658</v>
      </c>
      <c r="G269" s="4" t="n">
        <v>0.57682</v>
      </c>
      <c r="H269" s="9" t="n">
        <v>1292</v>
      </c>
      <c r="I269" s="4" t="n">
        <v>0.28038</v>
      </c>
      <c r="J269" s="9" t="n">
        <v>0</v>
      </c>
      <c r="K269" s="4" t="n">
        <v>0</v>
      </c>
      <c r="L269" s="2" t="n">
        <v>92</v>
      </c>
      <c r="M269" s="13">
        <f>L269/(N269+L269+J269+H269+F269)</f>
        <v/>
      </c>
      <c r="N269" s="2" t="n">
        <v>566</v>
      </c>
      <c r="O269" s="13">
        <f>N269/(N269+L269+J269+H269+F269)</f>
        <v/>
      </c>
    </row>
    <row r="270">
      <c r="A270" s="2" t="inlineStr">
        <is>
          <t>NAVEL</t>
        </is>
      </c>
      <c r="B270" s="6" t="n">
        <v>41358</v>
      </c>
      <c r="C270" s="11" t="inlineStr">
        <is>
          <t>3</t>
        </is>
      </c>
      <c r="D270" s="9">
        <f>E270*16</f>
        <v/>
      </c>
      <c r="E270" s="9" t="n">
        <v>62.5</v>
      </c>
      <c r="F270" s="9" t="n">
        <v>700</v>
      </c>
      <c r="G270" s="4" t="n">
        <v>0.46667</v>
      </c>
      <c r="H270" s="9" t="n">
        <v>446</v>
      </c>
      <c r="I270" s="4" t="n">
        <v>0.29733</v>
      </c>
      <c r="J270" s="9" t="n">
        <v>0</v>
      </c>
      <c r="K270" s="4" t="n">
        <v>0</v>
      </c>
      <c r="L270" s="2" t="n">
        <v>30</v>
      </c>
      <c r="M270" s="13">
        <f>L270/(N270+L270+J270+H270+F270)</f>
        <v/>
      </c>
      <c r="N270" s="2" t="n">
        <v>324</v>
      </c>
      <c r="O270" s="13">
        <f>N270/(N270+L270+J270+H270+F270)</f>
        <v/>
      </c>
    </row>
    <row r="271">
      <c r="A271" s="2" t="inlineStr">
        <is>
          <t>NAVEL</t>
        </is>
      </c>
      <c r="B271" s="6" t="n">
        <v>41437</v>
      </c>
      <c r="C271" s="11" t="inlineStr">
        <is>
          <t>8</t>
        </is>
      </c>
      <c r="D271" s="9">
        <f>E271*16</f>
        <v/>
      </c>
      <c r="E271" s="9" t="n">
        <v>250</v>
      </c>
      <c r="F271" s="9" t="n">
        <v>3049</v>
      </c>
      <c r="G271" s="4" t="n">
        <v>0.50817</v>
      </c>
      <c r="H271" s="9" t="n">
        <v>1691</v>
      </c>
      <c r="I271" s="4" t="n">
        <v>0.28183</v>
      </c>
      <c r="J271" s="9" t="n">
        <v>0</v>
      </c>
      <c r="K271" s="4" t="n">
        <v>0</v>
      </c>
      <c r="L271" s="2" t="n">
        <v>120</v>
      </c>
      <c r="M271" s="13">
        <f>L271/(N271+L271+J271+H271+F271)</f>
        <v/>
      </c>
      <c r="N271" s="2" t="n">
        <v>1140</v>
      </c>
      <c r="O271" s="13">
        <f>N271/(N271+L271+J271+H271+F271)</f>
        <v/>
      </c>
    </row>
    <row r="272">
      <c r="A272" s="2" t="inlineStr">
        <is>
          <t>NAVEL</t>
        </is>
      </c>
      <c r="B272" s="6" t="n">
        <v>41440</v>
      </c>
      <c r="C272" s="11" t="inlineStr">
        <is>
          <t>8</t>
        </is>
      </c>
      <c r="D272" s="9">
        <f>E272*16</f>
        <v/>
      </c>
      <c r="E272" s="9" t="n">
        <v>88</v>
      </c>
      <c r="F272" s="9" t="n">
        <v>891</v>
      </c>
      <c r="G272" s="4" t="n">
        <v>0.42188</v>
      </c>
      <c r="H272" s="9" t="n">
        <v>637</v>
      </c>
      <c r="I272" s="4" t="n">
        <v>0.30161</v>
      </c>
      <c r="J272" s="9" t="n">
        <v>0</v>
      </c>
      <c r="K272" s="4" t="n">
        <v>0</v>
      </c>
      <c r="L272" s="2" t="n">
        <v>42</v>
      </c>
      <c r="M272" s="13">
        <f>L272/(N272+L272+J272+H272+F272)</f>
        <v/>
      </c>
      <c r="N272" s="2" t="n">
        <v>542</v>
      </c>
      <c r="O272" s="13">
        <f>N272/(N272+L272+J272+H272+F272)</f>
        <v/>
      </c>
    </row>
    <row r="273">
      <c r="A273" s="2" t="inlineStr">
        <is>
          <t>NAVEL</t>
        </is>
      </c>
      <c r="B273" s="6" t="n">
        <v>41010</v>
      </c>
      <c r="C273" s="11" t="inlineStr">
        <is>
          <t>1</t>
        </is>
      </c>
      <c r="D273" s="9">
        <f>E273*16</f>
        <v/>
      </c>
      <c r="E273" s="9" t="n">
        <v>200</v>
      </c>
      <c r="F273" s="9" t="n">
        <v>3455</v>
      </c>
      <c r="G273" s="4" t="n">
        <v>0.71979</v>
      </c>
      <c r="H273" s="9" t="n">
        <v>343</v>
      </c>
      <c r="I273" s="4" t="n">
        <v>0.07146</v>
      </c>
      <c r="J273" s="9" t="n">
        <v>0</v>
      </c>
      <c r="K273" s="4" t="n">
        <v>0</v>
      </c>
      <c r="L273" s="2" t="n">
        <v>96</v>
      </c>
      <c r="M273" s="13">
        <f>L273/(N273+L273+J273+H273+F273)</f>
        <v/>
      </c>
      <c r="N273" s="2" t="n">
        <v>906</v>
      </c>
      <c r="O273" s="13">
        <f>N273/(N273+L273+J273+H273+F273)</f>
        <v/>
      </c>
    </row>
    <row r="274">
      <c r="A274" s="2" t="inlineStr">
        <is>
          <t>NAVEL</t>
        </is>
      </c>
      <c r="B274" s="6" t="n">
        <v>41017</v>
      </c>
      <c r="C274" s="11" t="inlineStr">
        <is>
          <t>1</t>
        </is>
      </c>
      <c r="D274" s="9">
        <f>E274*16</f>
        <v/>
      </c>
      <c r="E274" s="9" t="n">
        <v>292</v>
      </c>
      <c r="F274" s="9" t="n">
        <v>4597</v>
      </c>
      <c r="G274" s="4" t="n">
        <v>0.65596</v>
      </c>
      <c r="H274" s="9" t="n">
        <v>998</v>
      </c>
      <c r="I274" s="4" t="n">
        <v>0.14241</v>
      </c>
      <c r="J274" s="9" t="n">
        <v>0</v>
      </c>
      <c r="K274" s="4" t="n">
        <v>0</v>
      </c>
      <c r="L274" s="2" t="n">
        <v>140</v>
      </c>
      <c r="M274" s="13">
        <f>L274/(N274+L274+J274+H274+F274)</f>
        <v/>
      </c>
      <c r="N274" s="2" t="n">
        <v>1273</v>
      </c>
      <c r="O274" s="13">
        <f>N274/(N274+L274+J274+H274+F274)</f>
        <v/>
      </c>
    </row>
    <row r="275">
      <c r="A275" s="2" t="inlineStr">
        <is>
          <t>NAVEL</t>
        </is>
      </c>
      <c r="B275" s="6" t="n">
        <v>41018</v>
      </c>
      <c r="C275" s="11" t="inlineStr">
        <is>
          <t>1</t>
        </is>
      </c>
      <c r="D275" s="9">
        <f>E275*16</f>
        <v/>
      </c>
      <c r="E275" s="9" t="n">
        <v>12</v>
      </c>
      <c r="F275" s="9" t="n">
        <v>191</v>
      </c>
      <c r="G275" s="4" t="n">
        <v>0.6631899999999999</v>
      </c>
      <c r="H275" s="9" t="n">
        <v>37</v>
      </c>
      <c r="I275" s="4" t="n">
        <v>0.12847</v>
      </c>
      <c r="J275" s="9" t="n">
        <v>0</v>
      </c>
      <c r="K275" s="4" t="n">
        <v>0</v>
      </c>
      <c r="L275" s="2" t="n">
        <v>6</v>
      </c>
      <c r="M275" s="13">
        <f>L275/(N275+L275+J275+H275+F275)</f>
        <v/>
      </c>
      <c r="N275" s="2" t="n">
        <v>54</v>
      </c>
      <c r="O275" s="13">
        <f>N275/(N275+L275+J275+H275+F275)</f>
        <v/>
      </c>
    </row>
    <row r="276">
      <c r="A276" s="2" t="inlineStr">
        <is>
          <t>NAVEL</t>
        </is>
      </c>
      <c r="B276" s="6" t="n">
        <v>41047</v>
      </c>
      <c r="C276" s="11" t="inlineStr">
        <is>
          <t>2</t>
        </is>
      </c>
      <c r="D276" s="9">
        <f>E276*16</f>
        <v/>
      </c>
      <c r="E276" s="9" t="n">
        <v>227</v>
      </c>
      <c r="F276" s="9" t="n">
        <v>2819</v>
      </c>
      <c r="G276" s="4" t="n">
        <v>0.51744</v>
      </c>
      <c r="H276" s="9" t="n">
        <v>1130</v>
      </c>
      <c r="I276" s="4" t="n">
        <v>0.20742</v>
      </c>
      <c r="J276" s="9" t="n">
        <v>0</v>
      </c>
      <c r="K276" s="4" t="n">
        <v>0</v>
      </c>
      <c r="L276" s="2" t="n">
        <v>109</v>
      </c>
      <c r="M276" s="13">
        <f>L276/(N276+L276+J276+H276+F276)</f>
        <v/>
      </c>
      <c r="N276" s="2" t="n">
        <v>1390</v>
      </c>
      <c r="O276" s="13">
        <f>N276/(N276+L276+J276+H276+F276)</f>
        <v/>
      </c>
    </row>
    <row r="277">
      <c r="A277" s="2" t="inlineStr">
        <is>
          <t>NAVEL</t>
        </is>
      </c>
      <c r="B277" s="6" t="n">
        <v>41071</v>
      </c>
      <c r="C277" s="11" t="inlineStr">
        <is>
          <t>3</t>
        </is>
      </c>
      <c r="D277" s="9">
        <f>E277*16</f>
        <v/>
      </c>
      <c r="E277" s="9" t="n">
        <v>150</v>
      </c>
      <c r="F277" s="9" t="n">
        <v>1349</v>
      </c>
      <c r="G277" s="4" t="n">
        <v>0.37472</v>
      </c>
      <c r="H277" s="9" t="n">
        <v>896</v>
      </c>
      <c r="I277" s="4" t="n">
        <v>0.24889</v>
      </c>
      <c r="J277" s="9" t="n">
        <v>0</v>
      </c>
      <c r="K277" s="4" t="n">
        <v>0</v>
      </c>
      <c r="L277" s="2" t="n">
        <v>72</v>
      </c>
      <c r="M277" s="13">
        <f>L277/(N277+L277+J277+H277+F277)</f>
        <v/>
      </c>
      <c r="N277" s="2" t="n">
        <v>1283</v>
      </c>
      <c r="O277" s="13">
        <f>N277/(N277+L277+J277+H277+F277)</f>
        <v/>
      </c>
    </row>
    <row r="278">
      <c r="A278" s="2" t="inlineStr">
        <is>
          <t>NAVEL</t>
        </is>
      </c>
      <c r="B278" s="6" t="n">
        <v>41072</v>
      </c>
      <c r="C278" s="11" t="inlineStr">
        <is>
          <t>3</t>
        </is>
      </c>
      <c r="D278" s="9">
        <f>E278*16</f>
        <v/>
      </c>
      <c r="E278" s="9" t="n">
        <v>224</v>
      </c>
      <c r="F278" s="9" t="n">
        <v>1363</v>
      </c>
      <c r="G278" s="4" t="n">
        <v>0.25353</v>
      </c>
      <c r="H278" s="9" t="n">
        <v>981</v>
      </c>
      <c r="I278" s="4" t="n">
        <v>0.18248</v>
      </c>
      <c r="J278" s="9" t="n">
        <v>0</v>
      </c>
      <c r="K278" s="4" t="n">
        <v>0</v>
      </c>
      <c r="L278" s="2" t="n">
        <v>108</v>
      </c>
      <c r="M278" s="13">
        <f>L278/(N278+L278+J278+H278+F278)</f>
        <v/>
      </c>
      <c r="N278" s="2" t="n">
        <v>2924</v>
      </c>
      <c r="O278" s="13">
        <f>N278/(N278+L278+J278+H278+F278)</f>
        <v/>
      </c>
    </row>
    <row r="279">
      <c r="A279" s="2" t="inlineStr">
        <is>
          <t>NAVEL</t>
        </is>
      </c>
      <c r="B279" s="6" t="n">
        <v>41085</v>
      </c>
      <c r="C279" s="11" t="inlineStr">
        <is>
          <t>3</t>
        </is>
      </c>
      <c r="D279" s="9">
        <f>E279*16</f>
        <v/>
      </c>
      <c r="E279" s="9" t="n">
        <v>173.5</v>
      </c>
      <c r="F279" s="9" t="n">
        <v>1241</v>
      </c>
      <c r="G279" s="4" t="n">
        <v>0.29803</v>
      </c>
      <c r="H279" s="9" t="n">
        <v>749</v>
      </c>
      <c r="I279" s="4" t="n">
        <v>0.17988</v>
      </c>
      <c r="J279" s="9" t="n">
        <v>0</v>
      </c>
      <c r="K279" s="4" t="n">
        <v>0</v>
      </c>
      <c r="L279" s="2" t="n">
        <v>83</v>
      </c>
      <c r="M279" s="13">
        <f>L279/(N279+L279+J279+H279+F279)</f>
        <v/>
      </c>
      <c r="N279" s="2" t="n">
        <v>2091</v>
      </c>
      <c r="O279" s="13">
        <f>N279/(N279+L279+J279+H279+F279)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2"/>
  <sheetViews>
    <sheetView workbookViewId="0">
      <selection activeCell="K14" sqref="K14"/>
    </sheetView>
    <sheetView tabSelected="1" workbookViewId="1">
      <selection activeCell="I12" sqref="I12"/>
    </sheetView>
  </sheetViews>
  <sheetFormatPr baseColWidth="8" defaultRowHeight="14.5"/>
  <cols>
    <col width="5.54296875" bestFit="1" customWidth="1" style="2" min="1" max="1"/>
    <col width="9.08984375" bestFit="1" customWidth="1" style="2" min="2" max="2"/>
    <col width="3.81640625" bestFit="1" customWidth="1" style="2" min="3" max="3"/>
    <col width="9.6328125" bestFit="1" customWidth="1" style="2" min="4" max="4"/>
    <col width="9.6328125" customWidth="1" style="2" min="5" max="5"/>
    <col width="9.90625" bestFit="1" customWidth="1" style="2" min="6" max="6"/>
    <col width="9" bestFit="1" customWidth="1" style="2" min="7" max="7"/>
    <col width="12.54296875" bestFit="1" customWidth="1" style="2" min="8" max="8"/>
    <col width="9.6328125" bestFit="1" customWidth="1" style="2" min="9" max="9"/>
  </cols>
  <sheetData>
    <row r="1" customFormat="1" s="1">
      <c r="A1" s="3" t="inlineStr">
        <is>
          <t>Block</t>
        </is>
      </c>
      <c r="B1" s="3" t="inlineStr">
        <is>
          <t>Date</t>
        </is>
      </c>
      <c r="C1" s="3" t="inlineStr">
        <is>
          <t>Bin</t>
        </is>
      </c>
      <c r="D1" s="3" t="inlineStr">
        <is>
          <t>Fancy CTN</t>
        </is>
      </c>
      <c r="E1" s="3" t="inlineStr">
        <is>
          <t>Choice CTN</t>
        </is>
      </c>
      <c r="F1" s="3" t="inlineStr">
        <is>
          <t>Waste CTN</t>
        </is>
      </c>
      <c r="G1" s="3" t="inlineStr">
        <is>
          <t>Juice CTN</t>
        </is>
      </c>
      <c r="H1" s="3" t="inlineStr">
        <is>
          <t>Total Charges</t>
        </is>
      </c>
      <c r="I1" s="3" t="inlineStr">
        <is>
          <t>Net Return</t>
        </is>
      </c>
    </row>
    <row r="2">
      <c r="A2" s="2" t="n">
        <v>1</v>
      </c>
      <c r="B2" s="6" t="n">
        <v>46128</v>
      </c>
      <c r="C2" s="2" t="n">
        <v>566</v>
      </c>
      <c r="D2" s="2" t="n">
        <v>47087</v>
      </c>
      <c r="E2" s="2" t="n">
        <v>0</v>
      </c>
      <c r="F2" s="2" t="n">
        <v>13700</v>
      </c>
      <c r="G2" s="2" t="n">
        <v>37414</v>
      </c>
      <c r="H2" s="2" t="n">
        <v>123790.64</v>
      </c>
      <c r="I2" s="2" t="n">
        <v>78986.42999999999</v>
      </c>
    </row>
    <row r="3">
      <c r="A3" s="2" t="inlineStr">
        <is>
          <t>2B</t>
        </is>
      </c>
      <c r="B3" s="6" t="n">
        <v>46128</v>
      </c>
      <c r="C3" s="2" t="n">
        <v>428</v>
      </c>
      <c r="D3" s="2" t="n">
        <v>37878</v>
      </c>
      <c r="E3" s="2" t="n">
        <v>0</v>
      </c>
      <c r="F3" s="2" t="n">
        <v>10932</v>
      </c>
      <c r="G3" s="2" t="n">
        <v>25536</v>
      </c>
      <c r="H3" s="2" t="n">
        <v>96611.11</v>
      </c>
      <c r="I3" s="2" t="n">
        <v>66447.3</v>
      </c>
    </row>
    <row r="4">
      <c r="A4" s="2" t="inlineStr">
        <is>
          <t>13W</t>
        </is>
      </c>
      <c r="B4" s="6" t="n">
        <v>46210</v>
      </c>
      <c r="C4" s="2" t="n">
        <v>159</v>
      </c>
      <c r="D4" s="2" t="n">
        <v>2571</v>
      </c>
      <c r="E4" s="2" t="n">
        <v>535</v>
      </c>
      <c r="F4" s="2" t="n">
        <v>131</v>
      </c>
      <c r="G4" s="2" t="n">
        <v>420</v>
      </c>
      <c r="H4" s="2" t="n">
        <v>22644.17</v>
      </c>
      <c r="I4" s="2" t="n">
        <v>28969.29</v>
      </c>
    </row>
    <row r="5">
      <c r="A5" s="2" t="inlineStr">
        <is>
          <t>18W</t>
        </is>
      </c>
      <c r="B5" s="6" t="n">
        <v>46210</v>
      </c>
      <c r="C5" s="2" t="n">
        <v>240</v>
      </c>
      <c r="D5" s="2" t="n">
        <v>3201</v>
      </c>
      <c r="E5" s="2" t="n">
        <v>1030</v>
      </c>
      <c r="F5" s="2" t="n">
        <v>189</v>
      </c>
      <c r="G5" s="2" t="n">
        <v>1100</v>
      </c>
      <c r="H5" s="2" t="n">
        <v>32256.14</v>
      </c>
      <c r="I5" s="2" t="n">
        <v>38304.58</v>
      </c>
    </row>
    <row r="6">
      <c r="A6" s="2" t="n">
        <v>1</v>
      </c>
      <c r="B6" s="21" t="n">
        <v>41130</v>
      </c>
      <c r="C6" s="9" t="n">
        <v>200</v>
      </c>
      <c r="D6" s="2" t="n"/>
      <c r="E6" s="2" t="n"/>
      <c r="F6" s="9" t="n">
        <v>0</v>
      </c>
      <c r="G6" s="9" t="n">
        <v>906</v>
      </c>
      <c r="H6" s="18" t="n">
        <v>30053.97</v>
      </c>
      <c r="I6" s="18" t="n">
        <v>32132.77</v>
      </c>
    </row>
    <row r="7">
      <c r="A7" s="2" t="n">
        <v>1</v>
      </c>
      <c r="B7" s="21" t="n">
        <v>41183</v>
      </c>
      <c r="C7" s="9" t="n">
        <v>304</v>
      </c>
      <c r="D7" s="9" t="n">
        <v>4588</v>
      </c>
      <c r="E7" s="9" t="n">
        <v>990</v>
      </c>
      <c r="F7" s="9" t="n">
        <v>0</v>
      </c>
      <c r="G7" s="9" t="n">
        <v>1327</v>
      </c>
      <c r="H7" s="18" t="n">
        <v>30299.9</v>
      </c>
      <c r="I7" s="18" t="n">
        <v>51856.11</v>
      </c>
    </row>
    <row r="8">
      <c r="A8" s="2" t="n">
        <v>2</v>
      </c>
      <c r="B8" s="21" t="n">
        <v>41183</v>
      </c>
      <c r="C8" s="9" t="n">
        <v>227</v>
      </c>
      <c r="D8" s="9" t="n">
        <v>2716</v>
      </c>
      <c r="E8" s="9" t="n">
        <v>1081</v>
      </c>
      <c r="F8" s="9" t="n">
        <v>0</v>
      </c>
      <c r="G8" s="9" t="n">
        <v>1390</v>
      </c>
      <c r="H8" s="2" t="n"/>
      <c r="I8" s="18" t="n">
        <v>29162.13</v>
      </c>
    </row>
    <row r="9">
      <c r="A9" s="2" t="n">
        <v>3</v>
      </c>
      <c r="B9" s="21" t="n">
        <v>41204</v>
      </c>
      <c r="C9" s="9" t="n">
        <v>548</v>
      </c>
      <c r="D9" s="9" t="n">
        <v>4099</v>
      </c>
      <c r="E9" s="9" t="n">
        <v>2721</v>
      </c>
      <c r="F9" s="9" t="n">
        <v>0</v>
      </c>
      <c r="G9" s="9" t="n">
        <v>5879</v>
      </c>
      <c r="H9" s="18" t="n">
        <v>44008.25</v>
      </c>
      <c r="I9" s="18" t="n">
        <v>53362.55</v>
      </c>
    </row>
    <row r="10">
      <c r="A10" s="2" t="n">
        <v>8</v>
      </c>
      <c r="B10" s="21" t="n">
        <v>41228</v>
      </c>
      <c r="C10" s="9" t="n">
        <v>302</v>
      </c>
      <c r="D10" s="9" t="n">
        <v>3429</v>
      </c>
      <c r="E10" s="9" t="n">
        <v>1968</v>
      </c>
      <c r="F10" s="9" t="n">
        <v>0</v>
      </c>
      <c r="G10" s="9" t="n">
        <v>1500</v>
      </c>
      <c r="H10" s="18" t="n">
        <v>30031.13</v>
      </c>
      <c r="I10" s="18" t="n">
        <v>41408.83</v>
      </c>
    </row>
    <row r="11">
      <c r="A11" s="2" t="n">
        <v>8</v>
      </c>
      <c r="B11" s="21" t="n">
        <v>41228</v>
      </c>
      <c r="C11" s="9" t="n">
        <v>417</v>
      </c>
      <c r="D11" s="9" t="n">
        <v>3588</v>
      </c>
      <c r="E11" s="9" t="n">
        <v>2240</v>
      </c>
      <c r="F11" s="9" t="n">
        <v>0</v>
      </c>
      <c r="G11" s="9" t="n">
        <v>3793</v>
      </c>
      <c r="H11" s="18" t="n">
        <v>36827.28</v>
      </c>
      <c r="I11" s="18" t="n">
        <v>43118.32</v>
      </c>
    </row>
    <row r="12">
      <c r="A12" s="2" t="n">
        <v>4</v>
      </c>
      <c r="B12" s="21" t="n">
        <v>41262</v>
      </c>
      <c r="C12" s="9" t="n">
        <v>743</v>
      </c>
      <c r="D12" s="9" t="n">
        <v>5331</v>
      </c>
      <c r="E12" s="9" t="n">
        <v>4914</v>
      </c>
      <c r="F12" s="9" t="n">
        <v>0</v>
      </c>
      <c r="G12" s="9" t="n">
        <v>6844</v>
      </c>
      <c r="H12" s="18" t="n">
        <v>65573.72</v>
      </c>
      <c r="I12" s="18" t="n">
        <v>59225.39</v>
      </c>
    </row>
    <row r="13">
      <c r="A13" s="2" t="n">
        <v>5</v>
      </c>
      <c r="B13" s="21" t="n">
        <v>41262</v>
      </c>
      <c r="C13" s="9" t="n">
        <v>208</v>
      </c>
      <c r="D13" s="9" t="n">
        <v>1445</v>
      </c>
      <c r="E13" s="9" t="n">
        <v>1602</v>
      </c>
      <c r="F13" s="9" t="n">
        <v>0</v>
      </c>
      <c r="G13" s="9" t="n">
        <v>1737</v>
      </c>
      <c r="H13" s="18" t="n">
        <v>18569.6</v>
      </c>
      <c r="I13" s="18" t="n">
        <v>16806.43</v>
      </c>
    </row>
    <row r="14">
      <c r="A14" s="2" t="n">
        <v>6</v>
      </c>
      <c r="B14" s="21" t="n">
        <v>41262</v>
      </c>
      <c r="C14" s="9" t="n">
        <v>445</v>
      </c>
      <c r="D14" s="9" t="n">
        <v>2534</v>
      </c>
      <c r="E14" s="9" t="n">
        <v>3693</v>
      </c>
      <c r="F14" s="9" t="n">
        <v>0</v>
      </c>
      <c r="G14" s="9" t="n">
        <v>4008</v>
      </c>
      <c r="H14" s="18" t="n">
        <v>39141.42</v>
      </c>
      <c r="I14" s="18" t="n">
        <v>32993.82</v>
      </c>
    </row>
    <row r="15">
      <c r="A15" s="2" t="n">
        <v>7</v>
      </c>
      <c r="B15" s="21" t="n">
        <v>41262</v>
      </c>
      <c r="C15" s="9" t="n">
        <v>1224</v>
      </c>
      <c r="D15" s="9" t="n">
        <v>5649</v>
      </c>
      <c r="E15" s="9" t="n">
        <v>11944</v>
      </c>
      <c r="F15" s="9" t="n">
        <v>0</v>
      </c>
      <c r="G15" s="9" t="n">
        <v>10559</v>
      </c>
      <c r="H15" s="18" t="n">
        <v>108815.18</v>
      </c>
      <c r="I15" s="18" t="n">
        <v>72848.58</v>
      </c>
    </row>
    <row r="16">
      <c r="A16" s="2" t="n">
        <v>7</v>
      </c>
      <c r="B16" s="21" t="n">
        <v>41430</v>
      </c>
      <c r="C16" s="9" t="n">
        <v>825</v>
      </c>
      <c r="D16" s="9" t="n">
        <v>19004</v>
      </c>
      <c r="E16" s="9" t="n">
        <v>4994</v>
      </c>
      <c r="F16" s="9" t="n">
        <v>0</v>
      </c>
      <c r="G16" s="9" t="n">
        <v>0</v>
      </c>
      <c r="H16" s="2" t="n"/>
      <c r="I16" s="2" t="n"/>
    </row>
    <row r="17">
      <c r="A17" s="2" t="n">
        <v>5</v>
      </c>
      <c r="B17" s="21" t="n">
        <v>41457</v>
      </c>
      <c r="C17" s="9" t="n">
        <v>150</v>
      </c>
      <c r="D17" s="9" t="n">
        <v>3228</v>
      </c>
      <c r="E17" s="9" t="n">
        <v>509</v>
      </c>
      <c r="F17" s="9" t="n">
        <v>0</v>
      </c>
      <c r="G17" s="9" t="n">
        <v>0</v>
      </c>
      <c r="H17" s="2" t="n"/>
      <c r="I17" s="2" t="n"/>
    </row>
    <row r="18">
      <c r="A18" s="2" t="n">
        <v>4</v>
      </c>
      <c r="B18" s="21" t="n">
        <v>41458</v>
      </c>
      <c r="C18" s="9" t="n">
        <v>408</v>
      </c>
      <c r="D18" s="9" t="n">
        <v>9862</v>
      </c>
      <c r="E18" s="9" t="n">
        <v>2637</v>
      </c>
      <c r="F18" s="9" t="n">
        <v>0</v>
      </c>
      <c r="G18" s="9" t="n">
        <v>0</v>
      </c>
      <c r="H18" s="2" t="n"/>
      <c r="I18" s="2" t="n"/>
    </row>
    <row r="19">
      <c r="A19" s="2" t="n">
        <v>6</v>
      </c>
      <c r="B19" s="21" t="n">
        <v>41458</v>
      </c>
      <c r="C19" s="9" t="n">
        <v>222</v>
      </c>
      <c r="D19" s="9" t="n">
        <v>4052</v>
      </c>
      <c r="E19" s="9" t="n">
        <v>574</v>
      </c>
      <c r="F19" s="9" t="n">
        <v>0</v>
      </c>
      <c r="G19" s="9" t="n">
        <v>0</v>
      </c>
      <c r="H19" s="2" t="n"/>
      <c r="I19" s="2" t="n"/>
    </row>
    <row r="20">
      <c r="A20" s="2" t="n">
        <v>1</v>
      </c>
      <c r="B20" s="21" t="n">
        <v>41508</v>
      </c>
      <c r="C20" s="9" t="n">
        <v>205</v>
      </c>
      <c r="D20" s="9" t="n">
        <v>2826</v>
      </c>
      <c r="E20" s="9" t="n">
        <v>910</v>
      </c>
      <c r="F20" s="9" t="n">
        <v>0</v>
      </c>
      <c r="G20" s="9" t="n">
        <v>1019</v>
      </c>
      <c r="H20" s="18" t="n">
        <v>19004.36</v>
      </c>
      <c r="I20" s="18" t="n">
        <v>26633.59</v>
      </c>
    </row>
    <row r="21">
      <c r="A21" s="2" t="n">
        <v>1</v>
      </c>
      <c r="B21" s="21" t="n">
        <v>41530</v>
      </c>
      <c r="C21" s="9" t="n">
        <v>102</v>
      </c>
      <c r="D21" s="9" t="n">
        <v>1432</v>
      </c>
      <c r="E21" s="9" t="n">
        <v>552</v>
      </c>
      <c r="F21" s="9" t="n">
        <v>0</v>
      </c>
      <c r="G21" s="9" t="n">
        <v>402</v>
      </c>
      <c r="H21" s="2" t="n"/>
      <c r="I21" s="18" t="n">
        <v>14483.82</v>
      </c>
    </row>
    <row r="22">
      <c r="A22" s="2" t="n">
        <v>2</v>
      </c>
      <c r="B22" s="21" t="n">
        <v>41530</v>
      </c>
      <c r="C22" s="9" t="n">
        <v>132</v>
      </c>
      <c r="D22" s="9" t="n">
        <v>1546</v>
      </c>
      <c r="E22" s="9" t="n">
        <v>879</v>
      </c>
      <c r="F22" s="9" t="n">
        <v>0</v>
      </c>
      <c r="G22" s="9" t="n">
        <v>590</v>
      </c>
      <c r="H22" s="18" t="n">
        <v>12381.5</v>
      </c>
      <c r="I22" s="18" t="n">
        <v>18402.93</v>
      </c>
    </row>
    <row r="23">
      <c r="A23" s="2" t="n">
        <v>3</v>
      </c>
      <c r="B23" s="21" t="n">
        <v>41530</v>
      </c>
      <c r="C23" s="9" t="n">
        <v>262</v>
      </c>
      <c r="D23" s="9" t="n">
        <v>3545</v>
      </c>
      <c r="E23" s="9" t="n">
        <v>706</v>
      </c>
      <c r="F23" s="9" t="n">
        <v>0</v>
      </c>
      <c r="G23" s="9" t="n">
        <v>816</v>
      </c>
      <c r="H23" s="18" t="n">
        <v>35512.15</v>
      </c>
      <c r="I23" s="18" t="n">
        <v>41655.1</v>
      </c>
    </row>
    <row r="24">
      <c r="A24" s="2" t="n">
        <v>3</v>
      </c>
      <c r="B24" s="21" t="n">
        <v>41536</v>
      </c>
      <c r="C24" s="9" t="n">
        <v>63</v>
      </c>
      <c r="D24" s="9" t="n">
        <v>676</v>
      </c>
      <c r="E24" s="9" t="n">
        <v>441</v>
      </c>
      <c r="F24" s="9" t="n">
        <v>0</v>
      </c>
      <c r="G24" s="9" t="n">
        <v>324</v>
      </c>
      <c r="H24" s="2" t="n"/>
      <c r="I24" s="18" t="n">
        <v>7131.15</v>
      </c>
    </row>
    <row r="25">
      <c r="A25" s="2" t="n">
        <v>8</v>
      </c>
      <c r="B25" s="21" t="n">
        <v>41556</v>
      </c>
      <c r="C25" s="9" t="n">
        <v>338</v>
      </c>
      <c r="D25" s="9" t="n">
        <v>354</v>
      </c>
      <c r="E25" s="9" t="n">
        <v>2305</v>
      </c>
      <c r="F25" s="9" t="n">
        <v>0</v>
      </c>
      <c r="G25" s="9" t="n">
        <v>1682</v>
      </c>
      <c r="H25" s="18" t="n">
        <v>36199.09</v>
      </c>
      <c r="I25" s="18" t="n">
        <v>75715.48</v>
      </c>
    </row>
    <row r="26">
      <c r="A26" s="2" t="n">
        <v>4</v>
      </c>
      <c r="B26" s="21" t="n">
        <v>41766</v>
      </c>
      <c r="C26" s="9" t="n">
        <v>848</v>
      </c>
      <c r="D26" s="9" t="n">
        <v>16021</v>
      </c>
      <c r="E26" s="9" t="n">
        <v>1024</v>
      </c>
      <c r="F26" s="9" t="n">
        <v>0</v>
      </c>
      <c r="G26" s="9" t="n">
        <v>0</v>
      </c>
      <c r="H26" s="2" t="n"/>
      <c r="I26" s="2" t="n"/>
    </row>
    <row r="27">
      <c r="A27" s="2" t="n">
        <v>3</v>
      </c>
      <c r="B27" s="21" t="n">
        <v>41837</v>
      </c>
      <c r="C27" s="9" t="n">
        <v>200</v>
      </c>
      <c r="D27" s="9" t="n">
        <v>2570</v>
      </c>
      <c r="E27" s="9" t="n"/>
      <c r="F27" s="9" t="n">
        <v>0</v>
      </c>
      <c r="G27" s="9" t="n">
        <v>891</v>
      </c>
      <c r="H27" s="2" t="n"/>
      <c r="I27" s="18" t="n">
        <v>47935.54</v>
      </c>
    </row>
    <row r="28">
      <c r="A28" s="2" t="n">
        <v>1</v>
      </c>
      <c r="B28" s="21" t="n">
        <v>41869</v>
      </c>
      <c r="C28" s="9" t="n">
        <v>300</v>
      </c>
      <c r="D28" s="9" t="n">
        <v>2944</v>
      </c>
      <c r="E28" s="9" t="n">
        <v>1455</v>
      </c>
      <c r="F28" s="9" t="n">
        <v>0</v>
      </c>
      <c r="G28" s="9" t="n">
        <v>1845</v>
      </c>
      <c r="H28" s="18" t="n">
        <v>30044.94</v>
      </c>
      <c r="I28" s="18" t="n">
        <v>67188.87</v>
      </c>
    </row>
    <row r="29">
      <c r="A29" s="2" t="n">
        <v>2</v>
      </c>
      <c r="B29" s="21" t="n">
        <v>41869</v>
      </c>
      <c r="C29" s="9" t="n">
        <v>26</v>
      </c>
      <c r="D29" s="9" t="n">
        <v>313</v>
      </c>
      <c r="E29" s="9" t="n">
        <v>36</v>
      </c>
      <c r="F29" s="9" t="n">
        <v>21</v>
      </c>
      <c r="G29" s="9" t="n">
        <v>173</v>
      </c>
      <c r="H29" s="18" t="n">
        <v>3361.34</v>
      </c>
      <c r="I29" s="18" t="n">
        <v>3913.48</v>
      </c>
    </row>
    <row r="30">
      <c r="A30" s="2" t="n">
        <v>3</v>
      </c>
      <c r="B30" s="21" t="n">
        <v>41869</v>
      </c>
      <c r="C30" s="9" t="n">
        <v>74</v>
      </c>
      <c r="D30" s="9" t="n">
        <v>1028</v>
      </c>
      <c r="E30" s="9" t="n">
        <v>93</v>
      </c>
      <c r="F30" s="9" t="n">
        <v>68</v>
      </c>
      <c r="G30" s="9" t="n">
        <v>288</v>
      </c>
      <c r="H30" s="2" t="n"/>
      <c r="I30" s="18" t="n">
        <v>12870.01</v>
      </c>
    </row>
    <row r="31">
      <c r="A31" s="2" t="n">
        <v>3</v>
      </c>
      <c r="B31" s="21" t="n">
        <v>41869</v>
      </c>
      <c r="C31" s="9" t="n">
        <v>326</v>
      </c>
      <c r="D31" s="9" t="n">
        <v>4114</v>
      </c>
      <c r="E31" s="9" t="n">
        <v>1694</v>
      </c>
      <c r="F31" s="9" t="n">
        <v>0</v>
      </c>
      <c r="G31" s="9" t="n">
        <v>1361</v>
      </c>
      <c r="H31" s="18" t="n">
        <v>35014.17</v>
      </c>
      <c r="I31" s="18" t="n">
        <v>81069.52</v>
      </c>
    </row>
    <row r="32">
      <c r="A32" s="2" t="n">
        <v>5</v>
      </c>
      <c r="B32" s="21" t="n">
        <v>41872</v>
      </c>
      <c r="C32" s="9" t="n">
        <v>252</v>
      </c>
      <c r="D32" s="9" t="n">
        <v>5268</v>
      </c>
      <c r="E32" s="9" t="n">
        <v>2532</v>
      </c>
      <c r="F32" s="9" t="n">
        <v>0</v>
      </c>
      <c r="G32" s="9" t="n">
        <v>0</v>
      </c>
      <c r="H32" s="2" t="n"/>
      <c r="I32" s="2" t="n"/>
    </row>
    <row r="33">
      <c r="A33" s="2" t="n">
        <v>7</v>
      </c>
      <c r="B33" s="21" t="n">
        <v>41887</v>
      </c>
      <c r="C33" s="20" t="n">
        <v>1090.75</v>
      </c>
      <c r="D33" s="9" t="n">
        <v>8494</v>
      </c>
      <c r="E33" s="9" t="n">
        <v>13198</v>
      </c>
      <c r="F33" s="9" t="n">
        <v>0</v>
      </c>
      <c r="G33" s="9" t="n">
        <v>0</v>
      </c>
      <c r="H33" s="2" t="n"/>
      <c r="I33" s="2" t="n"/>
    </row>
    <row r="34">
      <c r="A34" s="2" t="n">
        <v>1</v>
      </c>
      <c r="B34" s="21" t="n">
        <v>41920</v>
      </c>
      <c r="C34" s="20" t="n">
        <v>18.75</v>
      </c>
      <c r="D34" s="9" t="n">
        <v>669</v>
      </c>
      <c r="E34" s="9" t="n">
        <v>178</v>
      </c>
      <c r="F34" s="9" t="n">
        <v>0</v>
      </c>
      <c r="G34" s="9" t="n">
        <v>264</v>
      </c>
      <c r="H34" s="18" t="n">
        <v>57203.2</v>
      </c>
      <c r="I34" s="18" t="n">
        <v>10679.58</v>
      </c>
    </row>
    <row r="35">
      <c r="A35" s="2" t="n">
        <v>2</v>
      </c>
      <c r="B35" s="21" t="n">
        <v>41920</v>
      </c>
      <c r="C35" s="9" t="n">
        <v>183</v>
      </c>
      <c r="D35" s="9" t="n">
        <v>2539</v>
      </c>
      <c r="E35" s="9" t="n">
        <v>683</v>
      </c>
      <c r="F35" s="9" t="n">
        <v>0</v>
      </c>
      <c r="G35" s="9" t="n">
        <v>14</v>
      </c>
      <c r="H35" s="18" t="n">
        <v>19452.61</v>
      </c>
      <c r="I35" s="18" t="n">
        <v>40799.54</v>
      </c>
    </row>
    <row r="36">
      <c r="A36" s="2" t="n">
        <v>8</v>
      </c>
      <c r="B36" s="21" t="n">
        <v>41946</v>
      </c>
      <c r="C36" s="9" t="n">
        <v>514</v>
      </c>
      <c r="D36" s="9" t="n">
        <v>3948</v>
      </c>
      <c r="E36" s="9" t="n">
        <v>3623</v>
      </c>
      <c r="F36" s="9" t="n">
        <v>0</v>
      </c>
      <c r="G36" s="9" t="n">
        <v>1879</v>
      </c>
      <c r="H36" s="18" t="n">
        <v>56458.97</v>
      </c>
      <c r="I36" s="18" t="n">
        <v>124529.93</v>
      </c>
    </row>
    <row r="37">
      <c r="A37" s="2" t="n">
        <v>1</v>
      </c>
      <c r="B37" s="21" t="n">
        <v>42235</v>
      </c>
      <c r="C37" s="9" t="n">
        <v>268</v>
      </c>
      <c r="D37" s="2" t="n"/>
      <c r="E37" s="2" t="n"/>
      <c r="F37" s="9" t="n">
        <v>0</v>
      </c>
      <c r="G37" s="9" t="n">
        <v>1307</v>
      </c>
      <c r="H37" s="18" t="n">
        <v>99321.13</v>
      </c>
      <c r="I37" s="18" t="n">
        <v>42211.71</v>
      </c>
    </row>
    <row r="38">
      <c r="A38" s="2" t="n">
        <v>2</v>
      </c>
      <c r="B38" s="21" t="n">
        <v>42235</v>
      </c>
      <c r="C38" s="9" t="n">
        <v>50</v>
      </c>
      <c r="D38" s="9" t="n">
        <v>585</v>
      </c>
      <c r="E38" s="9" t="n"/>
      <c r="F38" s="9" t="n">
        <v>0</v>
      </c>
      <c r="G38" s="9" t="n">
        <v>284</v>
      </c>
      <c r="H38" s="2" t="n"/>
      <c r="I38" s="18" t="n">
        <v>8363.74</v>
      </c>
    </row>
    <row r="39">
      <c r="A39" s="2" t="n">
        <v>2</v>
      </c>
      <c r="B39" s="21" t="n">
        <v>42244</v>
      </c>
      <c r="C39" s="9" t="n">
        <v>100</v>
      </c>
      <c r="D39" s="9" t="n">
        <v>1079</v>
      </c>
      <c r="E39" s="9" t="n">
        <v>645</v>
      </c>
      <c r="F39" s="9" t="n">
        <v>0</v>
      </c>
      <c r="G39" s="9" t="n">
        <v>496</v>
      </c>
      <c r="H39" s="18" t="n">
        <v>10896.15</v>
      </c>
      <c r="I39" s="18" t="n">
        <v>15894.7</v>
      </c>
    </row>
    <row r="40">
      <c r="A40" s="2" t="n">
        <v>3</v>
      </c>
      <c r="B40" s="21" t="n">
        <v>42244</v>
      </c>
      <c r="C40" s="9" t="n">
        <v>485</v>
      </c>
      <c r="D40" s="9" t="n">
        <v>4907</v>
      </c>
      <c r="E40" s="9" t="n">
        <v>113901</v>
      </c>
      <c r="F40" s="9" t="n">
        <v>0</v>
      </c>
      <c r="G40" s="9" t="n">
        <v>2726</v>
      </c>
      <c r="H40" s="18" t="n">
        <v>51697.97</v>
      </c>
      <c r="I40" s="18" t="n">
        <v>68362.39</v>
      </c>
    </row>
    <row r="41">
      <c r="A41" s="2" t="n">
        <v>4</v>
      </c>
      <c r="B41" s="21" t="n">
        <v>42369</v>
      </c>
      <c r="C41" s="9" t="n">
        <v>627</v>
      </c>
      <c r="D41" s="9" t="n">
        <v>7310</v>
      </c>
      <c r="E41" s="9" t="n">
        <v>1458</v>
      </c>
      <c r="F41" s="9" t="n">
        <v>0</v>
      </c>
      <c r="G41" s="9" t="n">
        <v>5653</v>
      </c>
      <c r="H41" s="18" t="n">
        <v>64720.08</v>
      </c>
      <c r="I41" s="18" t="n">
        <v>84659.81</v>
      </c>
    </row>
    <row r="42">
      <c r="A42" s="2" t="n">
        <v>5</v>
      </c>
      <c r="B42" s="21" t="n">
        <v>42369</v>
      </c>
      <c r="C42" s="9" t="n">
        <v>115</v>
      </c>
      <c r="D42" s="9" t="n">
        <v>909</v>
      </c>
      <c r="E42" s="9" t="n">
        <v>460</v>
      </c>
      <c r="F42" s="9" t="n">
        <v>0</v>
      </c>
      <c r="G42" s="9" t="n">
        <v>1276</v>
      </c>
      <c r="H42" s="18" t="n">
        <v>10997.88</v>
      </c>
      <c r="I42" s="18" t="n">
        <v>12932.38</v>
      </c>
    </row>
    <row r="43">
      <c r="A43" s="2" t="n">
        <v>6</v>
      </c>
      <c r="B43" s="21" t="n">
        <v>42369</v>
      </c>
      <c r="C43" s="9" t="n">
        <v>202</v>
      </c>
      <c r="D43" s="9" t="n">
        <v>1989</v>
      </c>
      <c r="E43" s="9" t="n">
        <v>904</v>
      </c>
      <c r="F43" s="9" t="n">
        <v>0</v>
      </c>
      <c r="G43" s="9" t="n">
        <v>1753</v>
      </c>
      <c r="H43" s="18" t="n">
        <v>19131.48</v>
      </c>
      <c r="I43" s="18" t="n">
        <v>27496.16</v>
      </c>
    </row>
    <row r="44">
      <c r="A44" s="2" t="n">
        <v>7</v>
      </c>
      <c r="B44" s="21" t="n">
        <v>42369</v>
      </c>
      <c r="C44" s="9" t="n">
        <v>844</v>
      </c>
      <c r="D44" s="9" t="n">
        <v>7252</v>
      </c>
      <c r="E44" s="9" t="n">
        <v>4346</v>
      </c>
      <c r="F44" s="9" t="n">
        <v>0</v>
      </c>
      <c r="G44" s="9" t="n">
        <v>7814</v>
      </c>
      <c r="H44" s="18" t="n">
        <v>78414.94</v>
      </c>
      <c r="I44" s="18" t="n">
        <v>108301.95</v>
      </c>
    </row>
    <row r="45">
      <c r="A45" s="2" t="n">
        <v>12</v>
      </c>
      <c r="B45" s="21" t="n">
        <v>42427</v>
      </c>
      <c r="C45" s="9" t="n">
        <v>283</v>
      </c>
      <c r="D45" s="9" t="n">
        <v>4402</v>
      </c>
      <c r="E45" s="9" t="n">
        <v>1019</v>
      </c>
      <c r="F45" s="9" t="n">
        <v>0</v>
      </c>
      <c r="G45" s="9" t="n">
        <v>0</v>
      </c>
      <c r="H45" s="2" t="n"/>
      <c r="I45" s="2" t="n"/>
    </row>
    <row r="46">
      <c r="A46" s="2" t="n">
        <v>3</v>
      </c>
      <c r="B46" s="21" t="n">
        <v>42489</v>
      </c>
      <c r="C46" s="9" t="n">
        <v>818</v>
      </c>
      <c r="D46" s="9" t="n">
        <v>8637</v>
      </c>
      <c r="E46" s="9" t="n">
        <v>1113</v>
      </c>
      <c r="F46" s="9" t="n">
        <v>483</v>
      </c>
      <c r="G46" s="9" t="n">
        <v>8581</v>
      </c>
      <c r="H46" s="18" t="n">
        <v>76620.59</v>
      </c>
      <c r="I46" s="18" t="n">
        <v>39953.51</v>
      </c>
    </row>
    <row r="47">
      <c r="A47" s="2" t="n">
        <v>3</v>
      </c>
      <c r="B47" s="21" t="n">
        <v>42569</v>
      </c>
      <c r="C47" s="9" t="n">
        <v>327</v>
      </c>
      <c r="D47" s="9" t="n">
        <v>3975</v>
      </c>
      <c r="E47" s="9" t="n">
        <v>422</v>
      </c>
      <c r="F47" s="9" t="n">
        <v>0</v>
      </c>
      <c r="G47" s="9" t="n">
        <v>2879</v>
      </c>
      <c r="H47" s="18" t="n">
        <v>31759.57</v>
      </c>
      <c r="I47" s="18" t="n">
        <v>21066.81</v>
      </c>
    </row>
    <row r="48">
      <c r="A48" s="2" t="n">
        <v>1</v>
      </c>
      <c r="B48" s="21" t="n">
        <v>42600</v>
      </c>
      <c r="C48" s="9" t="n">
        <v>397</v>
      </c>
      <c r="D48" s="9" t="n">
        <v>4220</v>
      </c>
      <c r="E48" s="9" t="n">
        <v>83340</v>
      </c>
      <c r="F48" s="9" t="n">
        <v>0</v>
      </c>
      <c r="G48" s="9" t="n">
        <v>2644</v>
      </c>
      <c r="H48" s="18" t="n">
        <v>42503.27</v>
      </c>
      <c r="I48" s="18" t="n">
        <v>51590.71</v>
      </c>
    </row>
    <row r="49">
      <c r="A49" s="2" t="n">
        <v>1</v>
      </c>
      <c r="B49" s="21" t="n">
        <v>42608</v>
      </c>
      <c r="C49" s="9" t="n">
        <v>135</v>
      </c>
      <c r="D49" s="2" t="n"/>
      <c r="E49" s="2" t="n"/>
      <c r="F49" s="9" t="n">
        <v>0</v>
      </c>
      <c r="G49" s="9" t="n">
        <v>929</v>
      </c>
      <c r="H49" s="18" t="n">
        <v>14486.59</v>
      </c>
      <c r="I49" s="18" t="n">
        <v>16775.29</v>
      </c>
    </row>
    <row r="50">
      <c r="A50" s="2" t="n">
        <v>3</v>
      </c>
      <c r="B50" s="21" t="n">
        <v>42608</v>
      </c>
      <c r="C50" s="9" t="n">
        <v>250</v>
      </c>
      <c r="D50" s="9" t="n">
        <v>2381</v>
      </c>
      <c r="E50" s="9" t="n">
        <v>147</v>
      </c>
      <c r="F50" s="9" t="n">
        <v>0</v>
      </c>
      <c r="G50" s="9" t="n">
        <v>3104</v>
      </c>
      <c r="H50" s="2" t="n"/>
      <c r="I50" s="18" t="n">
        <v>9226.15</v>
      </c>
    </row>
    <row r="51">
      <c r="A51" s="2" t="n">
        <v>2</v>
      </c>
      <c r="B51" s="21" t="n">
        <v>42646</v>
      </c>
      <c r="C51" s="9" t="n">
        <v>50</v>
      </c>
      <c r="D51" s="9" t="n">
        <v>376</v>
      </c>
      <c r="E51" s="9" t="n">
        <v>100</v>
      </c>
      <c r="F51" s="9" t="n">
        <v>0</v>
      </c>
      <c r="G51" s="9" t="n">
        <v>649</v>
      </c>
      <c r="H51" s="2" t="n"/>
      <c r="I51" s="18" t="n">
        <v>1296.41</v>
      </c>
    </row>
    <row r="52">
      <c r="A52" s="2" t="n">
        <v>3</v>
      </c>
      <c r="B52" s="21" t="n">
        <v>42646</v>
      </c>
      <c r="C52" s="9" t="n">
        <v>241</v>
      </c>
      <c r="D52" s="9" t="n">
        <v>2281</v>
      </c>
      <c r="E52" s="9" t="n">
        <v>544</v>
      </c>
      <c r="F52" s="9" t="n">
        <v>0</v>
      </c>
      <c r="G52" s="9" t="n">
        <v>2598</v>
      </c>
      <c r="H52" s="2" t="n"/>
      <c r="I52" s="18" t="n">
        <v>9660.549999999999</v>
      </c>
    </row>
    <row r="53">
      <c r="A53" s="2" t="n">
        <v>2</v>
      </c>
      <c r="B53" s="21" t="n">
        <v>42661</v>
      </c>
      <c r="C53" s="9" t="n">
        <v>204</v>
      </c>
      <c r="D53" s="9" t="n">
        <v>1401</v>
      </c>
      <c r="E53" s="9" t="n">
        <v>601</v>
      </c>
      <c r="F53" s="9" t="n">
        <v>0</v>
      </c>
      <c r="G53" s="9" t="n">
        <v>2585</v>
      </c>
      <c r="H53" s="18" t="n">
        <v>18165.08</v>
      </c>
      <c r="I53" s="18" t="n">
        <v>8024.36</v>
      </c>
    </row>
    <row r="54">
      <c r="A54" s="2" t="n">
        <v>4</v>
      </c>
      <c r="B54" s="21" t="n">
        <v>42668</v>
      </c>
      <c r="C54" s="20" t="n">
        <v>353.12</v>
      </c>
      <c r="D54" s="9" t="n">
        <v>15606</v>
      </c>
      <c r="E54" s="9" t="n">
        <v>9816</v>
      </c>
      <c r="F54" s="9" t="n">
        <v>0</v>
      </c>
      <c r="G54" s="9" t="n">
        <v>0</v>
      </c>
      <c r="H54" s="2" t="n"/>
      <c r="I54" s="2" t="n"/>
    </row>
    <row r="55">
      <c r="A55" s="2" t="n">
        <v>8</v>
      </c>
      <c r="B55" s="21" t="n">
        <v>42669</v>
      </c>
      <c r="C55" s="9" t="n">
        <v>116</v>
      </c>
      <c r="D55" s="9" t="n">
        <v>1226</v>
      </c>
      <c r="E55" s="9" t="n">
        <v>598</v>
      </c>
      <c r="F55" s="9" t="n">
        <v>64</v>
      </c>
      <c r="G55" s="9" t="n">
        <v>780</v>
      </c>
      <c r="H55" s="18" t="n">
        <v>12031.19</v>
      </c>
      <c r="I55" s="18" t="n">
        <v>11664.84</v>
      </c>
    </row>
    <row r="56">
      <c r="A56" s="2" t="n">
        <v>8</v>
      </c>
      <c r="B56" s="21" t="n">
        <v>42669</v>
      </c>
      <c r="C56" s="9" t="n">
        <v>646</v>
      </c>
      <c r="D56" s="9" t="n">
        <v>4418</v>
      </c>
      <c r="E56" s="9" t="n">
        <v>6240</v>
      </c>
      <c r="F56" s="9" t="n">
        <v>410</v>
      </c>
      <c r="G56" s="9" t="n">
        <v>3730</v>
      </c>
      <c r="H56" s="18" t="n">
        <v>69111.95</v>
      </c>
      <c r="I56" s="18" t="n">
        <v>45510.54</v>
      </c>
    </row>
    <row r="57">
      <c r="A57" s="2" t="n">
        <v>1</v>
      </c>
      <c r="B57" s="21" t="n">
        <v>42676</v>
      </c>
      <c r="C57" s="9" t="n">
        <v>532</v>
      </c>
      <c r="D57" s="9" t="n">
        <v>5651</v>
      </c>
      <c r="E57" s="9" t="n">
        <v>2573</v>
      </c>
      <c r="F57" s="9" t="n">
        <v>337</v>
      </c>
      <c r="G57" s="9" t="n">
        <v>3573</v>
      </c>
      <c r="H57" s="18" t="n">
        <v>56989.86</v>
      </c>
      <c r="I57" s="18" t="n">
        <v>68366</v>
      </c>
    </row>
    <row r="58">
      <c r="A58" s="2" t="n">
        <v>2</v>
      </c>
      <c r="B58" s="21" t="n">
        <v>42676</v>
      </c>
      <c r="C58" s="9" t="n">
        <v>254</v>
      </c>
      <c r="D58" s="9" t="n">
        <v>1777</v>
      </c>
      <c r="E58" s="9" t="n">
        <v>701</v>
      </c>
      <c r="F58" s="9" t="n">
        <v>130</v>
      </c>
      <c r="G58" s="9" t="n">
        <v>3234</v>
      </c>
      <c r="H58" s="18" t="n">
        <v>92536.02</v>
      </c>
      <c r="I58" s="18" t="n">
        <v>9320.77</v>
      </c>
    </row>
    <row r="59">
      <c r="A59" s="2" t="n">
        <v>8</v>
      </c>
      <c r="B59" s="21" t="n">
        <v>42676</v>
      </c>
      <c r="C59" s="9" t="n">
        <v>762</v>
      </c>
      <c r="D59" s="9" t="n">
        <v>574</v>
      </c>
      <c r="E59" s="9" t="n">
        <v>6838</v>
      </c>
      <c r="F59" s="9" t="n">
        <v>474</v>
      </c>
      <c r="G59" s="9" t="n">
        <v>4570</v>
      </c>
      <c r="H59" s="2" t="n"/>
      <c r="I59" s="18" t="n">
        <v>57175.38</v>
      </c>
    </row>
    <row r="60">
      <c r="A60" s="2" t="n">
        <v>4</v>
      </c>
      <c r="B60" s="21" t="n">
        <v>42734</v>
      </c>
      <c r="C60" s="9" t="n">
        <v>904</v>
      </c>
      <c r="D60" s="9" t="n">
        <v>7803</v>
      </c>
      <c r="E60" s="9" t="n">
        <v>4908</v>
      </c>
      <c r="F60" s="9" t="n">
        <v>0</v>
      </c>
      <c r="G60" s="9" t="n">
        <v>8082</v>
      </c>
      <c r="H60" s="18" t="n">
        <v>91868.72</v>
      </c>
      <c r="I60" s="18" t="n">
        <v>92701.57000000001</v>
      </c>
    </row>
    <row r="61">
      <c r="A61" s="2" t="n">
        <v>5</v>
      </c>
      <c r="B61" s="21" t="n">
        <v>42734</v>
      </c>
      <c r="C61" s="9" t="n">
        <v>300</v>
      </c>
      <c r="D61" s="9" t="n">
        <v>2340</v>
      </c>
      <c r="E61" s="9" t="n">
        <v>1344</v>
      </c>
      <c r="F61" s="9" t="n">
        <v>0</v>
      </c>
      <c r="G61" s="9" t="n">
        <v>3216</v>
      </c>
      <c r="H61" s="18" t="n">
        <v>29641.28</v>
      </c>
      <c r="I61" s="18" t="n">
        <v>26606.71</v>
      </c>
    </row>
    <row r="62">
      <c r="A62" s="2" t="n">
        <v>6</v>
      </c>
      <c r="B62" s="21" t="n">
        <v>42734</v>
      </c>
      <c r="C62" s="9" t="n">
        <v>518</v>
      </c>
      <c r="D62" s="9" t="n">
        <v>4940</v>
      </c>
      <c r="E62" s="9" t="n">
        <v>2034</v>
      </c>
      <c r="F62" s="9" t="n">
        <v>0</v>
      </c>
      <c r="G62" s="9" t="n">
        <v>4940</v>
      </c>
      <c r="H62" s="18" t="n">
        <v>52379.38</v>
      </c>
      <c r="I62" s="18" t="n">
        <v>45358.87</v>
      </c>
    </row>
    <row r="63">
      <c r="A63" s="2" t="n">
        <v>7</v>
      </c>
      <c r="B63" s="21" t="n">
        <v>42734</v>
      </c>
      <c r="C63" s="9" t="n">
        <v>1354</v>
      </c>
      <c r="D63" s="9" t="n">
        <v>9406</v>
      </c>
      <c r="E63" s="9" t="n">
        <v>6887</v>
      </c>
      <c r="F63" s="9" t="n">
        <v>0</v>
      </c>
      <c r="G63" s="9" t="n">
        <v>14849</v>
      </c>
      <c r="H63" s="18" t="n">
        <v>133401.26</v>
      </c>
      <c r="I63" s="18" t="n">
        <v>105637.42</v>
      </c>
    </row>
    <row r="64">
      <c r="A64" s="2" t="n">
        <v>12</v>
      </c>
      <c r="B64" s="21" t="n">
        <v>42769</v>
      </c>
      <c r="C64" s="9" t="n">
        <v>275</v>
      </c>
      <c r="D64" s="9" t="n">
        <v>3677</v>
      </c>
      <c r="E64" s="9" t="n">
        <v>1088</v>
      </c>
      <c r="F64" s="9" t="n">
        <v>0</v>
      </c>
      <c r="G64" s="9" t="n">
        <v>0</v>
      </c>
      <c r="H64" s="2" t="n"/>
      <c r="I64" s="2" t="n"/>
    </row>
    <row r="65">
      <c r="A65" s="2" t="n">
        <v>3</v>
      </c>
      <c r="B65" s="21" t="n">
        <v>42871</v>
      </c>
      <c r="C65" s="9" t="n">
        <v>694</v>
      </c>
      <c r="D65" s="9" t="n">
        <v>786</v>
      </c>
      <c r="E65" s="9" t="n">
        <v>3723</v>
      </c>
      <c r="F65" s="9" t="n">
        <v>692</v>
      </c>
      <c r="G65" s="9" t="n">
        <v>3561</v>
      </c>
      <c r="H65" s="18" t="n">
        <v>78842.78</v>
      </c>
      <c r="I65" s="18" t="n">
        <v>117373.48</v>
      </c>
    </row>
    <row r="66">
      <c r="A66" s="2" t="n">
        <v>3</v>
      </c>
      <c r="B66" s="21" t="n">
        <v>42913</v>
      </c>
      <c r="C66" s="9" t="n">
        <v>100</v>
      </c>
      <c r="D66" s="9" t="n">
        <v>1303</v>
      </c>
      <c r="E66" s="9" t="n">
        <v>375</v>
      </c>
      <c r="F66" s="9" t="n">
        <v>114</v>
      </c>
      <c r="G66" s="9" t="n">
        <v>508</v>
      </c>
      <c r="H66" s="18" t="n">
        <v>11094.98</v>
      </c>
      <c r="I66" s="18" t="n">
        <v>14813.27</v>
      </c>
    </row>
    <row r="67">
      <c r="A67" s="2" t="n">
        <v>10</v>
      </c>
      <c r="B67" s="21" t="n">
        <v>42968</v>
      </c>
      <c r="C67" s="9" t="n">
        <v>82</v>
      </c>
      <c r="D67" s="9" t="n">
        <v>286</v>
      </c>
      <c r="E67" s="9" t="n">
        <v>615</v>
      </c>
      <c r="F67" s="9" t="n">
        <v>77</v>
      </c>
      <c r="G67" s="9" t="n">
        <v>517</v>
      </c>
      <c r="H67" s="18" t="n">
        <v>9415.15</v>
      </c>
      <c r="I67" s="18" t="n">
        <v>10858.51</v>
      </c>
    </row>
    <row r="68">
      <c r="A68" s="2" t="n">
        <v>3</v>
      </c>
      <c r="B68" s="21" t="n">
        <v>42993</v>
      </c>
      <c r="C68" s="9" t="n">
        <v>594</v>
      </c>
      <c r="D68" s="9" t="n">
        <v>5683</v>
      </c>
      <c r="E68" s="9" t="n">
        <v>3348</v>
      </c>
      <c r="F68" s="9" t="n">
        <v>578</v>
      </c>
      <c r="G68" s="9" t="n">
        <v>3053</v>
      </c>
      <c r="H68" s="18" t="n">
        <v>67747.8</v>
      </c>
      <c r="I68" s="18" t="n">
        <v>102560.22</v>
      </c>
    </row>
    <row r="69">
      <c r="A69" s="2" t="n">
        <v>8</v>
      </c>
      <c r="B69" s="21" t="n">
        <v>43001</v>
      </c>
      <c r="C69" s="9" t="n">
        <v>486</v>
      </c>
      <c r="D69" s="9" t="n">
        <v>23498</v>
      </c>
      <c r="E69" s="9" t="n">
        <v>2558</v>
      </c>
      <c r="F69" s="9" t="n">
        <v>528</v>
      </c>
      <c r="G69" s="9" t="n">
        <v>394</v>
      </c>
      <c r="H69" s="18" t="n">
        <v>61178.69</v>
      </c>
      <c r="I69" s="18" t="n">
        <v>143763.72</v>
      </c>
    </row>
    <row r="70">
      <c r="A70" s="2" t="n">
        <v>4</v>
      </c>
      <c r="B70" s="21" t="n">
        <v>43099</v>
      </c>
      <c r="C70" s="9" t="n">
        <v>655</v>
      </c>
      <c r="D70" s="9" t="n">
        <v>11073</v>
      </c>
      <c r="E70" s="9" t="n">
        <v>163</v>
      </c>
      <c r="F70" s="9" t="n">
        <v>0</v>
      </c>
      <c r="G70" s="9" t="n">
        <v>2845</v>
      </c>
      <c r="H70" s="18" t="n">
        <v>76057.42</v>
      </c>
      <c r="I70" s="2" t="n"/>
    </row>
    <row r="71">
      <c r="A71" s="2" t="n">
        <v>5</v>
      </c>
      <c r="B71" s="21" t="n">
        <v>43099</v>
      </c>
      <c r="C71" s="9" t="n">
        <v>172</v>
      </c>
      <c r="D71" s="9" t="n">
        <v>2628</v>
      </c>
      <c r="E71" s="9" t="n">
        <v>485</v>
      </c>
      <c r="F71" s="9" t="n">
        <v>0</v>
      </c>
      <c r="G71" s="9" t="n">
        <v>843</v>
      </c>
      <c r="H71" s="18" t="n">
        <v>19399.13</v>
      </c>
      <c r="I71" s="18" t="n">
        <v>38778.76</v>
      </c>
    </row>
    <row r="72">
      <c r="A72" s="2" t="n">
        <v>6</v>
      </c>
      <c r="B72" s="21" t="n">
        <v>43099</v>
      </c>
      <c r="C72" s="9" t="n">
        <v>268</v>
      </c>
      <c r="D72" s="9" t="n">
        <v>3259</v>
      </c>
      <c r="E72" s="9" t="n">
        <v>1460</v>
      </c>
      <c r="F72" s="9" t="n">
        <v>0</v>
      </c>
      <c r="G72" s="9" t="n">
        <v>1551</v>
      </c>
      <c r="H72" s="18" t="n">
        <v>29232.7</v>
      </c>
      <c r="I72" s="18" t="n">
        <v>55477.52</v>
      </c>
    </row>
    <row r="73">
      <c r="A73" s="2" t="n">
        <v>7</v>
      </c>
      <c r="B73" s="21" t="n">
        <v>43099</v>
      </c>
      <c r="C73" s="9" t="n">
        <v>994</v>
      </c>
      <c r="D73" s="9" t="n">
        <v>16188</v>
      </c>
      <c r="E73" s="9" t="n">
        <v>3109</v>
      </c>
      <c r="F73" s="9" t="n">
        <v>0</v>
      </c>
      <c r="G73" s="9" t="n">
        <v>3566</v>
      </c>
      <c r="H73" s="18" t="n">
        <v>111937.79</v>
      </c>
      <c r="I73" s="18" t="n">
        <v>242399.24</v>
      </c>
    </row>
    <row r="74">
      <c r="A74" s="2" t="inlineStr">
        <is>
          <t>2B</t>
        </is>
      </c>
      <c r="B74" s="21" t="n">
        <v>43208</v>
      </c>
      <c r="C74" s="9" t="n">
        <v>62</v>
      </c>
      <c r="D74" s="9" t="n">
        <v>11789</v>
      </c>
      <c r="E74" s="9" t="n">
        <v>0</v>
      </c>
      <c r="F74" s="9" t="n">
        <v>201</v>
      </c>
      <c r="G74" s="9" t="n">
        <v>2864</v>
      </c>
      <c r="H74" s="18" t="n">
        <v>15770.06</v>
      </c>
      <c r="I74" s="18" t="n">
        <v>17986.97</v>
      </c>
    </row>
    <row r="75">
      <c r="A75" s="2" t="n">
        <v>3</v>
      </c>
      <c r="B75" s="21" t="n">
        <v>43293</v>
      </c>
      <c r="C75" s="9" t="n">
        <v>300</v>
      </c>
      <c r="D75" s="9" t="n">
        <v>3398</v>
      </c>
      <c r="E75" s="9" t="n">
        <v>1491</v>
      </c>
      <c r="F75" s="9" t="n">
        <v>270</v>
      </c>
      <c r="G75" s="9" t="n">
        <v>883</v>
      </c>
      <c r="H75" s="18" t="n">
        <v>37788.1</v>
      </c>
      <c r="I75" s="18" t="n">
        <v>89712.72</v>
      </c>
    </row>
    <row r="76">
      <c r="A76" s="2" t="n">
        <v>12</v>
      </c>
      <c r="B76" s="21" t="n">
        <v>43311</v>
      </c>
      <c r="C76" s="9" t="n">
        <v>820</v>
      </c>
      <c r="D76" s="9" t="n">
        <v>1545</v>
      </c>
      <c r="E76" s="9" t="n">
        <v>4213</v>
      </c>
      <c r="F76" s="9" t="n">
        <v>762</v>
      </c>
      <c r="G76" s="9" t="n">
        <v>3843</v>
      </c>
      <c r="H76" s="18" t="n">
        <v>136742.31</v>
      </c>
      <c r="I76" s="18" t="n">
        <v>273420.32</v>
      </c>
    </row>
    <row r="77">
      <c r="A77" s="2" t="n">
        <v>3</v>
      </c>
      <c r="B77" s="21" t="n">
        <v>43343</v>
      </c>
      <c r="C77" s="9" t="n">
        <v>261</v>
      </c>
      <c r="D77" s="9" t="n">
        <v>3919</v>
      </c>
      <c r="E77" s="9" t="n">
        <v>1110</v>
      </c>
      <c r="F77" s="9" t="n">
        <v>312</v>
      </c>
      <c r="G77" s="9" t="n">
        <v>668</v>
      </c>
      <c r="H77" s="18" t="n">
        <v>32980.51</v>
      </c>
      <c r="I77" s="18" t="n">
        <v>77519.74000000001</v>
      </c>
    </row>
    <row r="78">
      <c r="A78" s="2" t="n">
        <v>10</v>
      </c>
      <c r="B78" s="21" t="n">
        <v>43370</v>
      </c>
      <c r="C78" s="9" t="n">
        <v>114</v>
      </c>
      <c r="D78" s="9" t="n">
        <v>738</v>
      </c>
      <c r="E78" s="9" t="n">
        <v>214</v>
      </c>
      <c r="F78" s="9" t="n">
        <v>125</v>
      </c>
      <c r="G78" s="9" t="n">
        <v>537</v>
      </c>
      <c r="H78" s="18" t="n">
        <v>13771.05</v>
      </c>
      <c r="I78" s="18" t="n">
        <v>29378.02</v>
      </c>
    </row>
    <row r="79">
      <c r="A79" s="2" t="n">
        <v>8</v>
      </c>
      <c r="B79" s="21" t="n">
        <v>43370</v>
      </c>
      <c r="C79" s="9" t="n">
        <v>350</v>
      </c>
      <c r="D79" s="9" t="n">
        <v>5086</v>
      </c>
      <c r="E79" s="9" t="n">
        <v>2033</v>
      </c>
      <c r="F79" s="9" t="n">
        <v>432</v>
      </c>
      <c r="G79" s="9" t="n">
        <v>439</v>
      </c>
      <c r="H79" s="18" t="n">
        <v>46990.35</v>
      </c>
      <c r="I79" s="18" t="n">
        <v>111667.11</v>
      </c>
    </row>
    <row r="80">
      <c r="A80" s="2" t="n">
        <v>8</v>
      </c>
      <c r="B80" s="21" t="n">
        <v>43370</v>
      </c>
      <c r="C80" s="9" t="n">
        <v>318</v>
      </c>
      <c r="D80" s="9" t="n">
        <v>4072</v>
      </c>
      <c r="E80" s="9" t="n">
        <v>2284</v>
      </c>
      <c r="F80" s="9" t="n">
        <v>388</v>
      </c>
      <c r="G80" s="9" t="n">
        <v>570</v>
      </c>
      <c r="H80" s="18" t="n">
        <v>41139.94</v>
      </c>
      <c r="I80" s="18" t="n">
        <v>104286.55</v>
      </c>
    </row>
    <row r="81">
      <c r="A81" s="2" t="n">
        <v>4</v>
      </c>
      <c r="B81" s="21" t="n">
        <v>43465</v>
      </c>
      <c r="C81" s="9" t="n">
        <v>504</v>
      </c>
      <c r="D81" s="9" t="n">
        <v>7044</v>
      </c>
      <c r="E81" s="9" t="n">
        <v>1495</v>
      </c>
      <c r="F81" s="9" t="n">
        <v>0</v>
      </c>
      <c r="G81" s="9" t="n">
        <v>3053</v>
      </c>
      <c r="H81" s="18" t="n">
        <v>55209.63</v>
      </c>
      <c r="I81" s="18" t="n">
        <v>123107.78</v>
      </c>
    </row>
    <row r="82">
      <c r="A82" s="2" t="n">
        <v>5</v>
      </c>
      <c r="B82" s="21" t="n">
        <v>43465</v>
      </c>
      <c r="C82" s="9" t="n">
        <v>186</v>
      </c>
      <c r="D82" s="9" t="n">
        <v>2533</v>
      </c>
      <c r="E82" s="9" t="n">
        <v>465</v>
      </c>
      <c r="F82" s="9" t="n">
        <v>0</v>
      </c>
      <c r="G82" s="9" t="n">
        <v>1280</v>
      </c>
      <c r="H82" s="18" t="n">
        <v>19998.19</v>
      </c>
      <c r="I82" s="18" t="n">
        <v>42974.7</v>
      </c>
    </row>
    <row r="83">
      <c r="A83" s="2" t="n">
        <v>6</v>
      </c>
      <c r="B83" s="21" t="n">
        <v>43465</v>
      </c>
      <c r="C83" s="9" t="n">
        <v>330</v>
      </c>
      <c r="D83" s="9" t="n">
        <v>3623</v>
      </c>
      <c r="E83" s="9" t="n">
        <v>1105</v>
      </c>
      <c r="F83" s="9" t="n">
        <v>0</v>
      </c>
      <c r="G83" s="9" t="n">
        <v>2862</v>
      </c>
      <c r="H83" s="18" t="n">
        <v>34516.74</v>
      </c>
      <c r="I83" s="18" t="n">
        <v>62591.3</v>
      </c>
    </row>
    <row r="84">
      <c r="A84" s="2" t="n">
        <v>7</v>
      </c>
      <c r="B84" s="21" t="n">
        <v>43465</v>
      </c>
      <c r="C84" s="9" t="n">
        <v>968</v>
      </c>
      <c r="D84" s="9" t="n">
        <v>14039</v>
      </c>
      <c r="E84" s="9" t="n">
        <v>3290</v>
      </c>
      <c r="F84" s="9" t="n">
        <v>0</v>
      </c>
      <c r="G84" s="9" t="n">
        <v>6580</v>
      </c>
      <c r="H84" s="18" t="n">
        <v>104604.65</v>
      </c>
      <c r="I84" s="18" t="n">
        <v>198703.14</v>
      </c>
    </row>
    <row r="85">
      <c r="A85" s="2" t="inlineStr">
        <is>
          <t>2B</t>
        </is>
      </c>
      <c r="B85" s="21" t="n">
        <v>43609</v>
      </c>
      <c r="C85" s="9" t="n">
        <v>47</v>
      </c>
      <c r="D85" s="2" t="n"/>
      <c r="E85" s="2" t="n"/>
      <c r="F85" s="9" t="n">
        <v>3239</v>
      </c>
      <c r="G85" s="9" t="n">
        <v>31197</v>
      </c>
      <c r="H85" s="2" t="n"/>
      <c r="I85" s="2" t="n"/>
    </row>
    <row r="86">
      <c r="A86" s="2" t="n">
        <v>3</v>
      </c>
      <c r="B86" s="21" t="n">
        <v>43718</v>
      </c>
      <c r="C86" s="9" t="n">
        <v>282</v>
      </c>
      <c r="D86" s="9" t="n">
        <v>1397</v>
      </c>
      <c r="E86" s="9" t="n">
        <v>945</v>
      </c>
      <c r="F86" s="9" t="n">
        <v>242</v>
      </c>
      <c r="G86" s="9" t="n">
        <v>0</v>
      </c>
      <c r="H86" s="18" t="n">
        <v>28989.23</v>
      </c>
      <c r="I86" s="18" t="n">
        <v>23878.49</v>
      </c>
    </row>
    <row r="87">
      <c r="A87" s="2" t="n">
        <v>9</v>
      </c>
      <c r="B87" s="21" t="n">
        <v>43718</v>
      </c>
      <c r="C87" s="9" t="n">
        <v>478</v>
      </c>
      <c r="D87" s="9" t="n">
        <v>9920</v>
      </c>
      <c r="E87" s="9" t="n">
        <v>0</v>
      </c>
      <c r="F87" s="9" t="n">
        <v>451</v>
      </c>
      <c r="G87" s="9" t="n">
        <v>623</v>
      </c>
      <c r="H87" s="18" t="n">
        <v>67249.21000000001</v>
      </c>
      <c r="I87" s="18" t="n">
        <v>138787.92</v>
      </c>
    </row>
    <row r="88">
      <c r="A88" s="2" t="n">
        <v>12</v>
      </c>
      <c r="B88" s="21" t="n">
        <v>43725</v>
      </c>
      <c r="C88" s="9" t="n">
        <v>645</v>
      </c>
      <c r="D88" s="9" t="n">
        <v>8455</v>
      </c>
      <c r="E88" s="9" t="n">
        <v>3327</v>
      </c>
      <c r="F88" s="9" t="n">
        <v>283</v>
      </c>
      <c r="G88" s="9" t="n">
        <v>2130</v>
      </c>
      <c r="H88" s="2" t="n"/>
      <c r="I88" s="2" t="n"/>
    </row>
    <row r="89">
      <c r="A89" s="2" t="n">
        <v>3</v>
      </c>
      <c r="B89" s="21" t="n">
        <v>43733</v>
      </c>
      <c r="C89" s="9" t="n">
        <v>172</v>
      </c>
      <c r="D89" s="9" t="n">
        <v>428</v>
      </c>
      <c r="E89" s="9" t="n">
        <v>471</v>
      </c>
      <c r="F89" s="9" t="n">
        <v>136</v>
      </c>
      <c r="G89" s="9" t="n">
        <v>2404</v>
      </c>
      <c r="H89" s="18" t="n">
        <v>15750.26</v>
      </c>
      <c r="I89" s="18" t="n">
        <v>4618.55</v>
      </c>
    </row>
    <row r="90">
      <c r="A90" s="2" t="n">
        <v>3</v>
      </c>
      <c r="B90" s="21" t="n">
        <v>43760</v>
      </c>
      <c r="C90" s="9" t="n">
        <v>130</v>
      </c>
      <c r="D90" s="9" t="n">
        <v>995</v>
      </c>
      <c r="E90" s="9" t="n">
        <v>327</v>
      </c>
      <c r="F90" s="9" t="n">
        <v>113</v>
      </c>
      <c r="G90" s="9" t="n">
        <v>1555</v>
      </c>
      <c r="H90" s="18" t="n">
        <v>13210.86</v>
      </c>
      <c r="I90" s="18" t="n">
        <v>2646.7</v>
      </c>
    </row>
    <row r="91">
      <c r="A91" s="2" t="n">
        <v>4</v>
      </c>
      <c r="B91" s="21" t="n">
        <v>43775</v>
      </c>
      <c r="C91" s="9" t="n">
        <v>803</v>
      </c>
      <c r="D91" s="9" t="n">
        <v>8562</v>
      </c>
      <c r="E91" s="9" t="n">
        <v>3803</v>
      </c>
      <c r="F91" s="9" t="n">
        <v>6033</v>
      </c>
      <c r="G91" s="9" t="n">
        <v>35</v>
      </c>
      <c r="H91" s="18" t="n">
        <v>89617.97</v>
      </c>
      <c r="I91" s="18" t="n">
        <v>85726.14999999999</v>
      </c>
    </row>
    <row r="92">
      <c r="A92" s="2" t="n">
        <v>10</v>
      </c>
      <c r="B92" s="21" t="n">
        <v>43782</v>
      </c>
      <c r="C92" s="9" t="n">
        <v>403</v>
      </c>
      <c r="D92" s="9" t="n">
        <v>4208</v>
      </c>
      <c r="E92" s="9" t="n">
        <v>1893</v>
      </c>
      <c r="F92" s="9" t="n">
        <v>433</v>
      </c>
      <c r="G92" s="9" t="n">
        <v>2735</v>
      </c>
      <c r="H92" s="18" t="n">
        <v>47334.26</v>
      </c>
      <c r="I92" s="18" t="n">
        <v>24254</v>
      </c>
    </row>
    <row r="93">
      <c r="A93" s="2" t="n">
        <v>8</v>
      </c>
      <c r="B93" s="21" t="n">
        <v>43782</v>
      </c>
      <c r="C93" s="9" t="n">
        <v>548</v>
      </c>
      <c r="D93" s="9" t="n">
        <v>2935</v>
      </c>
      <c r="E93" s="9" t="n">
        <v>3509</v>
      </c>
      <c r="F93" s="9" t="n">
        <v>512</v>
      </c>
      <c r="G93" s="9" t="n">
        <v>5648</v>
      </c>
      <c r="H93" s="18" t="n">
        <v>54826.75</v>
      </c>
      <c r="I93" s="18" t="n">
        <v>21496.32</v>
      </c>
    </row>
    <row r="94">
      <c r="A94" s="2" t="n">
        <v>8</v>
      </c>
      <c r="B94" s="21" t="n">
        <v>43782</v>
      </c>
      <c r="C94" s="9" t="n">
        <v>176</v>
      </c>
      <c r="D94" s="9" t="n">
        <v>3049</v>
      </c>
      <c r="E94" s="9" t="n">
        <v>513</v>
      </c>
      <c r="F94" s="9" t="n">
        <v>226</v>
      </c>
      <c r="G94" s="9" t="n">
        <v>260</v>
      </c>
      <c r="H94" s="18" t="n">
        <v>23602.3</v>
      </c>
      <c r="I94" s="18" t="n">
        <v>42042.83</v>
      </c>
    </row>
    <row r="95">
      <c r="A95" s="2" t="n">
        <v>5</v>
      </c>
      <c r="B95" s="21" t="n">
        <v>43822</v>
      </c>
      <c r="C95" s="9" t="n">
        <v>214</v>
      </c>
      <c r="D95" s="9" t="n">
        <v>2454</v>
      </c>
      <c r="E95" s="9" t="n">
        <v>956</v>
      </c>
      <c r="F95" s="9" t="n">
        <v>0</v>
      </c>
      <c r="G95" s="9" t="n">
        <v>2</v>
      </c>
      <c r="H95" s="2" t="n"/>
      <c r="I95" s="18" t="n">
        <v>21987.61</v>
      </c>
    </row>
    <row r="96">
      <c r="A96" s="2" t="n">
        <v>6</v>
      </c>
      <c r="B96" s="21" t="n">
        <v>43822</v>
      </c>
      <c r="C96" s="9" t="n">
        <v>384</v>
      </c>
      <c r="D96" s="9" t="n">
        <v>3953</v>
      </c>
      <c r="E96" s="9" t="n">
        <v>2085</v>
      </c>
      <c r="F96" s="9" t="n">
        <v>63</v>
      </c>
      <c r="G96" s="9" t="n">
        <v>2725</v>
      </c>
      <c r="H96" s="18" t="n">
        <v>42809.69</v>
      </c>
      <c r="I96" s="18" t="n">
        <v>37903.76</v>
      </c>
    </row>
    <row r="97">
      <c r="A97" s="2" t="n">
        <v>7</v>
      </c>
      <c r="B97" s="21" t="n">
        <v>43822</v>
      </c>
      <c r="C97" s="9" t="n">
        <v>1152</v>
      </c>
      <c r="D97" s="9" t="n">
        <v>15360</v>
      </c>
      <c r="E97" s="9" t="n">
        <v>3273</v>
      </c>
      <c r="F97" s="9" t="n">
        <v>0</v>
      </c>
      <c r="G97" s="9" t="n">
        <v>1</v>
      </c>
      <c r="H97" s="18" t="n">
        <v>730214.88</v>
      </c>
      <c r="I97" s="18" t="n">
        <v>119735.74</v>
      </c>
    </row>
    <row r="98">
      <c r="A98" s="2" t="inlineStr">
        <is>
          <t>2B</t>
        </is>
      </c>
      <c r="B98" s="21" t="n">
        <v>43985</v>
      </c>
      <c r="C98" s="9" t="n">
        <v>116</v>
      </c>
      <c r="D98" s="9" t="n">
        <v>16948</v>
      </c>
      <c r="E98" s="9" t="n">
        <v>0</v>
      </c>
      <c r="F98" s="9" t="n">
        <v>672</v>
      </c>
      <c r="G98" s="9" t="n">
        <v>2549</v>
      </c>
      <c r="H98" s="2" t="n"/>
      <c r="I98" s="18" t="n">
        <v>31668.17</v>
      </c>
    </row>
    <row r="99">
      <c r="A99" s="2" t="n">
        <v>4</v>
      </c>
      <c r="B99" s="21" t="n">
        <v>44036</v>
      </c>
      <c r="C99" s="9" t="n">
        <v>608</v>
      </c>
      <c r="D99" s="9" t="n">
        <v>16437</v>
      </c>
      <c r="E99" s="9" t="n">
        <v>4178</v>
      </c>
      <c r="F99" s="9" t="n">
        <v>0</v>
      </c>
      <c r="G99" s="9" t="n">
        <v>0</v>
      </c>
      <c r="H99" s="2" t="n"/>
      <c r="I99" s="2" t="n"/>
    </row>
    <row r="100">
      <c r="A100" s="2" t="inlineStr">
        <is>
          <t>2A</t>
        </is>
      </c>
      <c r="B100" s="21" t="n">
        <v>44103</v>
      </c>
      <c r="C100" s="9" t="n">
        <v>10</v>
      </c>
      <c r="D100" s="9" t="n">
        <v>1595</v>
      </c>
      <c r="E100" s="9" t="n">
        <v>0</v>
      </c>
      <c r="F100" s="9" t="n">
        <v>36</v>
      </c>
      <c r="G100" s="9" t="n">
        <v>148</v>
      </c>
      <c r="H100" s="18" t="n">
        <v>3562.95</v>
      </c>
      <c r="I100" s="18" t="n">
        <v>3120.35</v>
      </c>
    </row>
    <row r="101">
      <c r="A101" s="2" t="n">
        <v>12</v>
      </c>
      <c r="B101" s="21" t="n">
        <v>44273</v>
      </c>
      <c r="C101" s="9" t="n">
        <v>954</v>
      </c>
      <c r="D101" s="9" t="n">
        <v>11178</v>
      </c>
      <c r="E101" s="9" t="n">
        <v>6006</v>
      </c>
      <c r="F101" s="9" t="n">
        <v>421</v>
      </c>
      <c r="G101" s="9" t="n">
        <v>3380</v>
      </c>
      <c r="H101" s="18" t="n">
        <v>165833.98</v>
      </c>
      <c r="I101" s="18" t="n">
        <v>257813.86</v>
      </c>
    </row>
    <row r="102">
      <c r="A102" s="2" t="n">
        <v>9</v>
      </c>
      <c r="B102" s="21" t="n">
        <v>44322</v>
      </c>
      <c r="C102" s="9" t="n">
        <v>612</v>
      </c>
      <c r="D102" s="9" t="n">
        <v>6649</v>
      </c>
      <c r="E102" s="9" t="n">
        <v>949</v>
      </c>
      <c r="F102" s="9" t="n">
        <v>282</v>
      </c>
      <c r="G102" s="9" t="n">
        <v>6196</v>
      </c>
      <c r="H102" s="18" t="n">
        <v>64366.78</v>
      </c>
      <c r="I102" s="18" t="n">
        <v>97375.52</v>
      </c>
    </row>
    <row r="103">
      <c r="A103" s="2" t="n">
        <v>10</v>
      </c>
      <c r="B103" s="21" t="n">
        <v>44538</v>
      </c>
      <c r="C103" s="9" t="n">
        <v>246</v>
      </c>
      <c r="D103" s="9" t="n">
        <v>3154</v>
      </c>
      <c r="E103" s="9" t="n">
        <v>871</v>
      </c>
      <c r="F103" s="9" t="n">
        <v>113</v>
      </c>
      <c r="G103" s="9" t="n">
        <v>620</v>
      </c>
      <c r="H103" s="18" t="n">
        <v>32874.31</v>
      </c>
      <c r="I103" s="18" t="n">
        <v>53106.76</v>
      </c>
    </row>
    <row r="104">
      <c r="A104" s="2" t="n">
        <v>10</v>
      </c>
      <c r="B104" s="21" t="n">
        <v>44538</v>
      </c>
      <c r="C104" s="9" t="n">
        <v>250</v>
      </c>
      <c r="D104" s="9" t="n">
        <v>928</v>
      </c>
      <c r="E104" s="9" t="n">
        <v>786</v>
      </c>
      <c r="F104" s="9" t="n">
        <v>115</v>
      </c>
      <c r="G104" s="9" t="n">
        <v>1207</v>
      </c>
      <c r="H104" s="18" t="n">
        <v>31123.56</v>
      </c>
      <c r="I104" s="18" t="n">
        <v>58958.78</v>
      </c>
    </row>
    <row r="105">
      <c r="A105" s="2" t="n">
        <v>10</v>
      </c>
      <c r="B105" s="21" t="n">
        <v>44538</v>
      </c>
      <c r="C105" s="9" t="n">
        <v>48</v>
      </c>
      <c r="D105" s="9" t="n">
        <v>476</v>
      </c>
      <c r="E105" s="9" t="n">
        <v>132</v>
      </c>
      <c r="F105" s="9" t="n">
        <v>22</v>
      </c>
      <c r="G105" s="9" t="n">
        <v>235</v>
      </c>
      <c r="H105" s="18" t="n">
        <v>5890.54</v>
      </c>
      <c r="I105" s="18" t="n">
        <v>9936.780000000001</v>
      </c>
    </row>
    <row r="106">
      <c r="A106" s="2" t="inlineStr">
        <is>
          <t>13W</t>
        </is>
      </c>
      <c r="B106" s="21" t="n">
        <v>44785</v>
      </c>
      <c r="C106" s="9" t="n">
        <v>22</v>
      </c>
      <c r="D106" s="9" t="n">
        <v>181</v>
      </c>
      <c r="E106" s="9" t="n">
        <v>165</v>
      </c>
      <c r="F106" s="9" t="n">
        <v>14</v>
      </c>
      <c r="G106" s="9" t="n">
        <v>146</v>
      </c>
      <c r="H106" s="18" t="n">
        <v>3718.61</v>
      </c>
      <c r="I106" s="18" t="n">
        <v>3268.45</v>
      </c>
    </row>
    <row r="107">
      <c r="A107" s="2" t="n">
        <v>11</v>
      </c>
      <c r="B107" s="21" t="n">
        <v>44795</v>
      </c>
      <c r="C107" s="9" t="n">
        <v>134</v>
      </c>
      <c r="D107" s="2" t="n"/>
      <c r="E107" s="2" t="n"/>
      <c r="F107" s="9" t="n">
        <v>910</v>
      </c>
      <c r="G107" s="9" t="n">
        <v>4266</v>
      </c>
      <c r="H107" s="2" t="n"/>
      <c r="I107" s="18" t="n">
        <v>53977.95</v>
      </c>
    </row>
    <row r="108">
      <c r="A108" s="2" t="inlineStr">
        <is>
          <t>2A</t>
        </is>
      </c>
      <c r="B108" s="21" t="n">
        <v>44795</v>
      </c>
      <c r="C108" s="9" t="n">
        <v>98</v>
      </c>
      <c r="D108" s="2" t="n"/>
      <c r="E108" s="2" t="n"/>
      <c r="F108" s="9" t="n">
        <v>665</v>
      </c>
      <c r="G108" s="9" t="n">
        <v>3093</v>
      </c>
      <c r="H108" s="2" t="n"/>
      <c r="I108" s="18" t="n">
        <v>39664.52</v>
      </c>
    </row>
    <row r="109">
      <c r="A109" s="2" t="n">
        <v>12</v>
      </c>
      <c r="B109" s="21" t="n">
        <v>44900</v>
      </c>
      <c r="C109" s="9" t="n">
        <v>861</v>
      </c>
      <c r="D109" s="9" t="n">
        <v>10977</v>
      </c>
      <c r="E109" s="9" t="n">
        <v>2448</v>
      </c>
      <c r="F109" s="9" t="n">
        <v>473</v>
      </c>
      <c r="G109" s="9" t="n">
        <v>5033</v>
      </c>
      <c r="H109" s="18" t="n">
        <v>145754.18</v>
      </c>
      <c r="I109" s="18" t="n">
        <v>159455.04</v>
      </c>
    </row>
    <row r="110">
      <c r="A110" s="2" t="inlineStr">
        <is>
          <t>13W</t>
        </is>
      </c>
      <c r="B110" s="21" t="n">
        <v>45159</v>
      </c>
      <c r="C110" s="9" t="n">
        <v>43</v>
      </c>
      <c r="D110" s="9" t="n">
        <v>613</v>
      </c>
      <c r="E110" s="9" t="n">
        <v>767</v>
      </c>
      <c r="F110" s="9" t="n">
        <v>0</v>
      </c>
      <c r="G110" s="9" t="n">
        <v>188</v>
      </c>
      <c r="H110" s="2" t="n"/>
      <c r="I110" s="18" t="n">
        <v>5719.91</v>
      </c>
    </row>
    <row r="111">
      <c r="A111" s="2" t="n">
        <v>9</v>
      </c>
      <c r="B111" s="21" t="n">
        <v>45181</v>
      </c>
      <c r="C111" s="9" t="n">
        <v>654</v>
      </c>
      <c r="D111" s="9" t="n">
        <v>11129</v>
      </c>
      <c r="E111" s="9" t="n">
        <v>0</v>
      </c>
      <c r="F111" s="9" t="n">
        <v>301</v>
      </c>
      <c r="G111" s="9" t="n">
        <v>2630</v>
      </c>
      <c r="H111" s="18" t="n">
        <v>91135.41</v>
      </c>
      <c r="I111" s="18" t="n">
        <v>130017.54</v>
      </c>
    </row>
    <row r="112">
      <c r="A112" s="2" t="n">
        <v>10</v>
      </c>
      <c r="B112" s="21" t="n">
        <v>45229</v>
      </c>
      <c r="C112" s="9" t="n">
        <v>539</v>
      </c>
      <c r="D112" s="9" t="n">
        <v>4988</v>
      </c>
      <c r="E112" s="9" t="n">
        <v>3363</v>
      </c>
      <c r="F112" s="9" t="n">
        <v>248</v>
      </c>
      <c r="G112" s="9" t="n">
        <v>3798</v>
      </c>
      <c r="H112" s="18" t="n">
        <v>97998.78999999999</v>
      </c>
      <c r="I112" s="18" t="n">
        <v>118884.61</v>
      </c>
    </row>
    <row r="113">
      <c r="A113" s="2" t="n">
        <v>12</v>
      </c>
      <c r="B113" s="21" t="n">
        <v>45236</v>
      </c>
      <c r="C113" s="20" t="n">
        <v>836.5</v>
      </c>
      <c r="D113" s="9" t="n">
        <v>7414</v>
      </c>
      <c r="E113" s="9" t="n">
        <v>5085</v>
      </c>
      <c r="F113" s="9" t="n">
        <v>741</v>
      </c>
      <c r="G113" s="9" t="n">
        <v>5553</v>
      </c>
      <c r="H113" s="18" t="n">
        <v>139017.1</v>
      </c>
      <c r="I113" s="18" t="n">
        <v>120140.18</v>
      </c>
    </row>
    <row r="114">
      <c r="A114" s="2" t="inlineStr">
        <is>
          <t>16L</t>
        </is>
      </c>
      <c r="B114" s="21" t="n">
        <v>45236</v>
      </c>
      <c r="C114" s="9" t="n">
        <v>18</v>
      </c>
      <c r="D114" s="9" t="n">
        <v>72</v>
      </c>
      <c r="E114" s="9" t="n">
        <v>84</v>
      </c>
      <c r="F114" s="9" t="n">
        <v>12</v>
      </c>
      <c r="G114" s="9" t="n">
        <v>228</v>
      </c>
      <c r="H114" s="18" t="n">
        <v>2374.21</v>
      </c>
      <c r="I114" s="18" t="n">
        <v>942.27</v>
      </c>
    </row>
    <row r="115">
      <c r="A115" s="2" t="n">
        <v>4</v>
      </c>
      <c r="B115" s="21" t="n">
        <v>45280</v>
      </c>
      <c r="C115" s="9" t="n">
        <v>696</v>
      </c>
      <c r="D115" s="9" t="n">
        <v>5499</v>
      </c>
      <c r="E115" s="9" t="n">
        <v>5123</v>
      </c>
      <c r="F115" s="9" t="n">
        <v>0</v>
      </c>
      <c r="G115" s="9" t="n">
        <v>5386</v>
      </c>
      <c r="H115" s="18" t="n">
        <v>89430.92999999999</v>
      </c>
      <c r="I115" s="18" t="n">
        <v>100977.89</v>
      </c>
    </row>
    <row r="116">
      <c r="A116" s="2" t="n">
        <v>5</v>
      </c>
      <c r="B116" s="21" t="n">
        <v>45280</v>
      </c>
      <c r="C116" s="9" t="n">
        <v>161</v>
      </c>
      <c r="D116" s="9" t="n">
        <v>7360</v>
      </c>
      <c r="E116" s="9" t="n">
        <v>139</v>
      </c>
      <c r="F116" s="9" t="n">
        <v>0</v>
      </c>
      <c r="G116" s="9" t="n">
        <v>1137</v>
      </c>
      <c r="H116" s="18" t="n">
        <v>21016.3</v>
      </c>
      <c r="I116" s="18" t="n">
        <v>25550.14</v>
      </c>
    </row>
    <row r="117">
      <c r="A117" s="2" t="n">
        <v>6</v>
      </c>
      <c r="B117" s="21" t="n">
        <v>45280</v>
      </c>
      <c r="C117" s="9" t="n">
        <v>269</v>
      </c>
      <c r="D117" s="9" t="n">
        <v>2506</v>
      </c>
      <c r="E117" s="9" t="n">
        <v>2073</v>
      </c>
      <c r="F117" s="9" t="n">
        <v>0</v>
      </c>
      <c r="G117" s="9" t="n">
        <v>1608</v>
      </c>
      <c r="H117" s="18" t="n">
        <v>35407.78</v>
      </c>
      <c r="I117" s="18" t="n">
        <v>45617.45</v>
      </c>
    </row>
    <row r="118">
      <c r="A118" s="2" t="n">
        <v>7</v>
      </c>
      <c r="B118" s="21" t="n">
        <v>45280</v>
      </c>
      <c r="C118" s="9" t="n">
        <v>1446</v>
      </c>
      <c r="D118" s="9" t="n">
        <v>14495</v>
      </c>
      <c r="E118" s="9" t="n">
        <v>11041</v>
      </c>
      <c r="F118" s="9" t="n">
        <v>0</v>
      </c>
      <c r="G118" s="9" t="n">
        <v>7723</v>
      </c>
      <c r="H118" s="18" t="n">
        <v>194355.83</v>
      </c>
      <c r="I118" s="18" t="n">
        <v>270585.45</v>
      </c>
    </row>
    <row r="119">
      <c r="A119" s="2" t="n">
        <v>1</v>
      </c>
      <c r="B119" s="21" t="n">
        <v>45426</v>
      </c>
      <c r="C119" s="9" t="n">
        <v>101</v>
      </c>
      <c r="D119" s="9" t="n">
        <v>6011</v>
      </c>
      <c r="E119" s="9" t="n">
        <v>0</v>
      </c>
      <c r="F119" s="9" t="n">
        <v>349</v>
      </c>
      <c r="G119" s="9" t="n">
        <v>11121</v>
      </c>
      <c r="H119" s="2" t="n"/>
      <c r="I119" s="18" t="n">
        <v>16953.94</v>
      </c>
    </row>
    <row r="120">
      <c r="A120" s="2" t="inlineStr">
        <is>
          <t>2B</t>
        </is>
      </c>
      <c r="B120" s="21" t="n">
        <v>45426</v>
      </c>
      <c r="C120" s="9" t="n">
        <v>175</v>
      </c>
      <c r="D120" s="9" t="n">
        <v>21374</v>
      </c>
      <c r="E120" s="9" t="n">
        <v>0</v>
      </c>
      <c r="F120" s="9" t="n">
        <v>607</v>
      </c>
      <c r="G120" s="9" t="n">
        <v>8382</v>
      </c>
      <c r="H120" s="2" t="n"/>
      <c r="I120" s="18" t="n">
        <v>58847.76</v>
      </c>
    </row>
    <row r="121">
      <c r="A121" s="2" t="inlineStr">
        <is>
          <t>13W</t>
        </is>
      </c>
      <c r="B121" s="21" t="n">
        <v>45510</v>
      </c>
      <c r="C121" s="9" t="n">
        <v>64</v>
      </c>
      <c r="D121" s="9" t="n">
        <v>208</v>
      </c>
      <c r="E121" s="9" t="n">
        <v>464</v>
      </c>
      <c r="F121" s="9" t="n">
        <v>48</v>
      </c>
      <c r="G121" s="9" t="n">
        <v>265</v>
      </c>
      <c r="H121" s="18" t="n">
        <v>8483.690000000001</v>
      </c>
      <c r="I121" s="18" t="n">
        <v>13113.51</v>
      </c>
    </row>
    <row r="122">
      <c r="A122" s="2" t="n">
        <v>3</v>
      </c>
      <c r="B122" s="21" t="n">
        <v>45544</v>
      </c>
      <c r="C122" s="9" t="n">
        <v>471</v>
      </c>
      <c r="D122" s="9" t="n">
        <v>5743</v>
      </c>
      <c r="E122" s="9" t="n">
        <v>2495</v>
      </c>
      <c r="F122" s="9" t="n">
        <v>1344</v>
      </c>
      <c r="G122" s="9" t="n">
        <v>1345</v>
      </c>
      <c r="H122" s="18" t="n">
        <v>76912.95</v>
      </c>
      <c r="I122" s="18" t="n">
        <v>53708.04</v>
      </c>
    </row>
    <row r="123">
      <c r="A123" s="2" t="n">
        <v>1</v>
      </c>
      <c r="B123" s="21" t="n">
        <v>45769</v>
      </c>
      <c r="C123" s="9" t="n">
        <v>191</v>
      </c>
      <c r="D123" s="9" t="n">
        <v>19582</v>
      </c>
      <c r="E123" s="9" t="n">
        <v>0</v>
      </c>
      <c r="F123" s="9" t="n">
        <v>662</v>
      </c>
      <c r="G123" s="9" t="n">
        <v>12895</v>
      </c>
      <c r="H123" s="18" t="n">
        <v>47082.37</v>
      </c>
      <c r="I123" s="18" t="n">
        <v>45817.36</v>
      </c>
    </row>
    <row r="124">
      <c r="A124" s="2" t="inlineStr">
        <is>
          <t>2B</t>
        </is>
      </c>
      <c r="B124" s="21" t="n">
        <v>45769</v>
      </c>
      <c r="C124" s="9" t="n">
        <v>177</v>
      </c>
      <c r="D124" s="9" t="n">
        <v>18013</v>
      </c>
      <c r="E124" s="9" t="n">
        <v>0</v>
      </c>
      <c r="F124" s="9" t="n">
        <v>612</v>
      </c>
      <c r="G124" s="9" t="n">
        <v>11995</v>
      </c>
      <c r="H124" s="18" t="n">
        <v>43372.51</v>
      </c>
      <c r="I124" s="18" t="n">
        <v>42238.7</v>
      </c>
    </row>
    <row r="125">
      <c r="A125" s="2" t="n">
        <v>11</v>
      </c>
      <c r="B125" s="21" t="n">
        <v>45812</v>
      </c>
      <c r="C125" s="9" t="n">
        <v>966</v>
      </c>
      <c r="D125" s="9" t="n">
        <v>108942</v>
      </c>
      <c r="E125" s="9" t="n">
        <v>0</v>
      </c>
      <c r="F125" s="9" t="n">
        <v>5210</v>
      </c>
      <c r="G125" s="9" t="n">
        <v>53449</v>
      </c>
      <c r="H125" s="18" t="n">
        <v>254440.63</v>
      </c>
      <c r="I125" s="18" t="n">
        <v>215018.9</v>
      </c>
    </row>
    <row r="126">
      <c r="A126" s="2" t="inlineStr">
        <is>
          <t>13W</t>
        </is>
      </c>
      <c r="B126" s="21" t="n">
        <v>45867</v>
      </c>
      <c r="C126" s="9" t="n">
        <v>112</v>
      </c>
      <c r="D126" s="9" t="n">
        <v>2002</v>
      </c>
      <c r="E126" s="9" t="n">
        <v>289</v>
      </c>
      <c r="F126" s="9" t="n">
        <v>90</v>
      </c>
      <c r="G126" s="9" t="n">
        <v>0</v>
      </c>
      <c r="H126" s="18" t="n">
        <v>16053.24</v>
      </c>
      <c r="I126" s="18" t="n">
        <v>20905.02</v>
      </c>
    </row>
    <row r="127">
      <c r="A127" s="2" t="inlineStr">
        <is>
          <t>18W</t>
        </is>
      </c>
      <c r="B127" s="21" t="n">
        <v>45867</v>
      </c>
      <c r="C127" s="9" t="n">
        <v>82</v>
      </c>
      <c r="D127" s="9" t="n">
        <v>346</v>
      </c>
      <c r="E127" s="9" t="n">
        <v>269</v>
      </c>
      <c r="F127" s="9" t="n">
        <v>63</v>
      </c>
      <c r="G127" s="9" t="n">
        <v>380</v>
      </c>
      <c r="H127" s="18" t="n">
        <v>10945.45</v>
      </c>
      <c r="I127" s="18" t="n">
        <v>16111.26</v>
      </c>
    </row>
    <row r="128">
      <c r="A128" s="2" t="n">
        <v>17</v>
      </c>
      <c r="B128" s="21" t="n">
        <v>45908</v>
      </c>
      <c r="C128" s="9" t="n">
        <v>159</v>
      </c>
      <c r="D128" s="9" t="n">
        <v>18800</v>
      </c>
      <c r="E128" s="9" t="n">
        <v>0</v>
      </c>
      <c r="F128" s="9" t="n">
        <v>874</v>
      </c>
      <c r="G128" s="9" t="n">
        <v>7913</v>
      </c>
      <c r="H128" s="18" t="n">
        <v>42863.66</v>
      </c>
      <c r="I128" s="18" t="n">
        <v>37615.47</v>
      </c>
    </row>
    <row r="129">
      <c r="A129" s="2" t="inlineStr">
        <is>
          <t>2A</t>
        </is>
      </c>
      <c r="B129" s="21" t="n">
        <v>45908</v>
      </c>
      <c r="C129" s="9" t="n">
        <v>400</v>
      </c>
      <c r="D129" s="9" t="n">
        <v>4292</v>
      </c>
      <c r="E129" s="9" t="n">
        <v>0</v>
      </c>
      <c r="F129" s="9" t="n">
        <v>2230</v>
      </c>
      <c r="G129" s="9" t="n">
        <v>17766</v>
      </c>
      <c r="H129" s="18" t="n">
        <v>110627.81</v>
      </c>
      <c r="I129" s="18" t="n">
        <v>99121.25</v>
      </c>
    </row>
    <row r="130">
      <c r="A130" s="2" t="inlineStr">
        <is>
          <t>19C</t>
        </is>
      </c>
      <c r="B130" s="21" t="n">
        <v>45918</v>
      </c>
      <c r="C130" s="9" t="n">
        <v>16</v>
      </c>
      <c r="D130" s="9" t="n">
        <v>196</v>
      </c>
      <c r="E130" s="9" t="n">
        <v>0</v>
      </c>
      <c r="F130" s="9" t="n">
        <v>7</v>
      </c>
      <c r="G130" s="9" t="n">
        <v>0</v>
      </c>
      <c r="H130" s="18" t="n">
        <v>2133.74</v>
      </c>
      <c r="I130" s="18" t="n">
        <v>3215.26</v>
      </c>
    </row>
    <row r="131">
      <c r="A131" s="2" t="n">
        <v>9</v>
      </c>
      <c r="B131" s="21" t="n">
        <v>45918</v>
      </c>
      <c r="C131" s="9" t="n">
        <v>706</v>
      </c>
      <c r="D131" s="9" t="n">
        <v>12945</v>
      </c>
      <c r="E131" s="9" t="n">
        <v>1018</v>
      </c>
      <c r="F131" s="9" t="n">
        <v>325</v>
      </c>
      <c r="G131" s="9" t="n">
        <v>0</v>
      </c>
      <c r="H131" s="18" t="n">
        <v>103623.63</v>
      </c>
      <c r="I131" s="18" t="n">
        <v>158890.93</v>
      </c>
    </row>
    <row r="132">
      <c r="A132" s="2" t="n">
        <v>3</v>
      </c>
      <c r="B132" s="21" t="n">
        <v>45932</v>
      </c>
      <c r="C132" s="20" t="n">
        <v>478.5</v>
      </c>
      <c r="D132" s="9" t="n">
        <v>5199</v>
      </c>
      <c r="E132" s="9" t="n">
        <v>2337</v>
      </c>
      <c r="F132" s="9" t="n">
        <v>535</v>
      </c>
      <c r="G132" s="9" t="n">
        <v>3030</v>
      </c>
      <c r="H132" s="18" t="n">
        <v>79627.35000000001</v>
      </c>
      <c r="I132" s="18" t="n">
        <v>42512.99</v>
      </c>
    </row>
    <row r="133">
      <c r="A133" s="2" t="n">
        <v>15</v>
      </c>
      <c r="B133" s="21" t="n">
        <v>45934</v>
      </c>
      <c r="C133" s="9" t="n">
        <v>251</v>
      </c>
      <c r="D133" s="9" t="n">
        <v>5081</v>
      </c>
      <c r="E133" s="9" t="n">
        <v>234</v>
      </c>
      <c r="F133" s="9" t="n">
        <v>76</v>
      </c>
      <c r="G133" s="9" t="n">
        <v>432</v>
      </c>
      <c r="H133" s="18" t="n">
        <v>42778.43</v>
      </c>
      <c r="I133" s="18" t="n">
        <v>50806.25</v>
      </c>
    </row>
    <row r="134">
      <c r="A134" s="2" t="n">
        <v>10</v>
      </c>
      <c r="B134" s="21" t="n">
        <v>45946</v>
      </c>
      <c r="C134" s="9" t="n">
        <v>201</v>
      </c>
      <c r="D134" s="9" t="n">
        <v>3274</v>
      </c>
      <c r="E134" s="9" t="n">
        <v>790</v>
      </c>
      <c r="F134" s="9" t="n">
        <v>147</v>
      </c>
      <c r="G134" s="9" t="n">
        <v>412</v>
      </c>
      <c r="H134" s="18" t="n">
        <v>99190.42999999999</v>
      </c>
      <c r="I134" s="18" t="n">
        <v>53733.23</v>
      </c>
    </row>
    <row r="135">
      <c r="A135" s="2" t="n">
        <v>10</v>
      </c>
      <c r="B135" s="21" t="n">
        <v>45946</v>
      </c>
      <c r="C135" s="9" t="n">
        <v>396</v>
      </c>
      <c r="D135" s="9" t="n">
        <v>5259</v>
      </c>
      <c r="E135" s="9" t="n">
        <v>1491</v>
      </c>
      <c r="F135" s="9" t="n">
        <v>239</v>
      </c>
      <c r="G135" s="9" t="n">
        <v>2119</v>
      </c>
      <c r="H135" s="18" t="n">
        <v>63712.54</v>
      </c>
      <c r="I135" s="18" t="n">
        <v>96206.28999999999</v>
      </c>
    </row>
    <row r="136">
      <c r="A136" s="2" t="n">
        <v>8</v>
      </c>
      <c r="B136" s="21" t="n">
        <v>45946</v>
      </c>
      <c r="C136" s="9" t="n">
        <v>390</v>
      </c>
      <c r="D136" s="9" t="n">
        <v>5721</v>
      </c>
      <c r="E136" s="9" t="n">
        <v>1627</v>
      </c>
      <c r="F136" s="9" t="n">
        <v>280</v>
      </c>
      <c r="G136" s="9" t="n">
        <v>1342</v>
      </c>
      <c r="H136" s="18" t="n">
        <v>53990.87</v>
      </c>
      <c r="I136" s="18" t="n">
        <v>96764.75999999999</v>
      </c>
    </row>
    <row r="137">
      <c r="A137" s="2" t="n">
        <v>12</v>
      </c>
      <c r="B137" s="21" t="n">
        <v>45980</v>
      </c>
      <c r="C137" s="9" t="n">
        <v>825</v>
      </c>
      <c r="D137" s="9" t="n">
        <v>8284</v>
      </c>
      <c r="E137" s="9" t="n">
        <v>3337</v>
      </c>
      <c r="F137" s="9" t="n">
        <v>803</v>
      </c>
      <c r="G137" s="9" t="n">
        <v>5727</v>
      </c>
      <c r="H137" s="18" t="n">
        <v>132930.24</v>
      </c>
      <c r="I137" s="18" t="n">
        <v>96921.91</v>
      </c>
    </row>
    <row r="138">
      <c r="A138" s="2" t="inlineStr">
        <is>
          <t>16L</t>
        </is>
      </c>
      <c r="B138" s="21" t="n">
        <v>45980</v>
      </c>
      <c r="C138" s="9" t="n">
        <v>370</v>
      </c>
      <c r="D138" s="9" t="n">
        <v>3230</v>
      </c>
      <c r="E138" s="9" t="n">
        <v>1846</v>
      </c>
      <c r="F138" s="9" t="n">
        <v>353</v>
      </c>
      <c r="G138" s="9" t="n">
        <v>2711</v>
      </c>
      <c r="H138" s="2" t="n"/>
      <c r="I138" s="18" t="n">
        <v>37030.96</v>
      </c>
    </row>
    <row r="139">
      <c r="A139" s="2" t="n">
        <v>4</v>
      </c>
      <c r="B139" s="21" t="n">
        <v>45982</v>
      </c>
      <c r="C139" s="9" t="n">
        <v>538</v>
      </c>
      <c r="D139" s="9" t="n">
        <v>6916</v>
      </c>
      <c r="E139" s="9" t="n">
        <v>3396</v>
      </c>
      <c r="F139" s="9" t="n">
        <v>326</v>
      </c>
      <c r="G139" s="9" t="n">
        <v>1844</v>
      </c>
      <c r="H139" s="18" t="n">
        <v>95783.91</v>
      </c>
      <c r="I139" s="18" t="n">
        <v>107428.13</v>
      </c>
    </row>
    <row r="140">
      <c r="A140" s="2" t="n">
        <v>5</v>
      </c>
      <c r="B140" s="21" t="n">
        <v>45982</v>
      </c>
      <c r="C140" s="9" t="n">
        <v>123</v>
      </c>
      <c r="D140" s="9" t="n">
        <v>1816</v>
      </c>
      <c r="E140" s="9" t="n">
        <v>611</v>
      </c>
      <c r="F140" s="9" t="n">
        <v>64</v>
      </c>
      <c r="G140" s="9" t="n">
        <v>363</v>
      </c>
      <c r="H140" s="18" t="n">
        <v>22401.12</v>
      </c>
      <c r="I140" s="18" t="n">
        <v>24749.61</v>
      </c>
    </row>
    <row r="141">
      <c r="A141" s="2" t="n">
        <v>6</v>
      </c>
      <c r="B141" s="21" t="n">
        <v>45982</v>
      </c>
      <c r="C141" s="9" t="n">
        <v>173</v>
      </c>
      <c r="D141" s="9" t="n">
        <v>1760</v>
      </c>
      <c r="E141" s="9" t="n">
        <v>1482</v>
      </c>
      <c r="F141" s="9" t="n">
        <v>115</v>
      </c>
      <c r="G141" s="9" t="n">
        <v>657</v>
      </c>
      <c r="H141" s="18" t="n">
        <v>29558.47</v>
      </c>
      <c r="I141" s="18" t="n">
        <v>36754.73</v>
      </c>
    </row>
    <row r="142">
      <c r="A142" s="2" t="n">
        <v>7</v>
      </c>
      <c r="B142" s="21" t="n">
        <v>45982</v>
      </c>
      <c r="C142" s="9" t="n">
        <v>660</v>
      </c>
      <c r="D142" s="9" t="n">
        <v>8887</v>
      </c>
      <c r="E142" s="9" t="n">
        <v>4123</v>
      </c>
      <c r="F142" s="9" t="n">
        <v>345</v>
      </c>
      <c r="G142" s="9" t="n">
        <v>1958</v>
      </c>
      <c r="H142" s="18" t="n">
        <v>115462.85</v>
      </c>
      <c r="I142" s="18" t="n">
        <v>151096.46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tabSelected="1" workbookViewId="0">
      <selection activeCell="A4" sqref="A4"/>
    </sheetView>
    <sheetView workbookViewId="1">
      <selection activeCell="K24" sqref="K24"/>
    </sheetView>
  </sheetViews>
  <sheetFormatPr baseColWidth="8" defaultRowHeight="14.5"/>
  <cols>
    <col width="13.08984375" bestFit="1" customWidth="1" min="1" max="1"/>
    <col width="18.81640625" bestFit="1" customWidth="1" style="2" min="2" max="2"/>
    <col width="24" bestFit="1" customWidth="1" style="2" min="3" max="3"/>
    <col width="24" customWidth="1" style="2" min="4" max="5"/>
    <col width="55.7265625" bestFit="1" customWidth="1" style="2" min="6" max="6"/>
    <col width="8.7265625" customWidth="1" style="2" min="7" max="7"/>
  </cols>
  <sheetData>
    <row r="1" customFormat="1" s="1">
      <c r="A1" s="1" t="inlineStr">
        <is>
          <t>Payment Date</t>
        </is>
      </c>
      <c r="B1" s="3" t="inlineStr">
        <is>
          <t>Approx Date of Work</t>
        </is>
      </c>
      <c r="C1" s="3" t="inlineStr">
        <is>
          <t>Vendor</t>
        </is>
      </c>
      <c r="D1" s="3" t="inlineStr">
        <is>
          <t>Block</t>
        </is>
      </c>
      <c r="E1" s="3" t="inlineStr">
        <is>
          <t>Work Description</t>
        </is>
      </c>
      <c r="F1" s="3" t="inlineStr">
        <is>
          <t>Quickbooks Description</t>
        </is>
      </c>
      <c r="G1" s="3" t="inlineStr">
        <is>
          <t>Amount</t>
        </is>
      </c>
    </row>
    <row r="2">
      <c r="A2" s="17" t="n">
        <v>46064</v>
      </c>
      <c r="B2" s="6" t="n">
        <v>46055</v>
      </c>
      <c r="C2" s="2" t="inlineStr">
        <is>
          <t>J. Garcia Jr. Contracting Inc</t>
        </is>
      </c>
      <c r="D2" s="2" t="inlineStr">
        <is>
          <t>Blk 1</t>
        </is>
      </c>
      <c r="E2" s="2" t="inlineStr">
        <is>
          <t>Prune</t>
        </is>
      </c>
      <c r="F2" s="2" t="inlineStr">
        <is>
          <t>#945 Blk 1 Pruning</t>
        </is>
      </c>
      <c r="G2" s="18" t="n">
        <v>9983.25</v>
      </c>
    </row>
    <row r="3">
      <c r="A3" s="17" t="n">
        <v>46064</v>
      </c>
      <c r="B3" s="6" t="n">
        <v>46055</v>
      </c>
      <c r="C3" s="2" t="inlineStr">
        <is>
          <t>J. Garcia Jr. Contracting Inc</t>
        </is>
      </c>
      <c r="D3" s="2" t="inlineStr">
        <is>
          <t>Blk 2b</t>
        </is>
      </c>
      <c r="E3" s="2" t="inlineStr">
        <is>
          <t>Prune</t>
        </is>
      </c>
      <c r="F3" s="2" t="inlineStr">
        <is>
          <t>#945 Blk 2c Pruning</t>
        </is>
      </c>
      <c r="G3" s="18" t="n">
        <v>8261.5</v>
      </c>
    </row>
    <row r="4">
      <c r="A4" s="17" t="n">
        <v>46064</v>
      </c>
      <c r="B4" s="6" t="n">
        <v>46055</v>
      </c>
      <c r="C4" s="2" t="inlineStr">
        <is>
          <t>J. Garcia Jr. Contracting Inc</t>
        </is>
      </c>
      <c r="D4" s="2" t="inlineStr">
        <is>
          <t>Blk 16</t>
        </is>
      </c>
      <c r="E4" s="2" t="inlineStr">
        <is>
          <t>Prune</t>
        </is>
      </c>
      <c r="F4" s="2" t="inlineStr">
        <is>
          <t>#945 Blk 16 Pruning</t>
        </is>
      </c>
      <c r="G4" s="18" t="n">
        <v>8365.549999999999</v>
      </c>
    </row>
    <row r="5">
      <c r="A5" s="17" t="n">
        <v>46104</v>
      </c>
      <c r="B5" s="6" t="n">
        <v>46093</v>
      </c>
      <c r="C5" s="2" t="inlineStr">
        <is>
          <t>dba Barringer Ag</t>
        </is>
      </c>
      <c r="D5" s="2" t="inlineStr">
        <is>
          <t>Blk 1</t>
        </is>
      </c>
      <c r="E5" s="2" t="inlineStr">
        <is>
          <t>Shred</t>
        </is>
      </c>
      <c r="F5" s="2" t="inlineStr">
        <is>
          <t>Shred blk 1 7.25 acres @$175.00</t>
        </is>
      </c>
      <c r="G5" s="18" t="n">
        <v>1268.75</v>
      </c>
    </row>
    <row r="6">
      <c r="A6" s="17" t="n">
        <v>46104</v>
      </c>
      <c r="B6" s="6" t="n">
        <v>46093</v>
      </c>
      <c r="C6" s="2" t="inlineStr">
        <is>
          <t>dba Barringer Ag</t>
        </is>
      </c>
      <c r="D6" s="2" t="inlineStr">
        <is>
          <t>Blk 2b</t>
        </is>
      </c>
      <c r="E6" s="2" t="inlineStr">
        <is>
          <t>Shred</t>
        </is>
      </c>
      <c r="F6" s="2" t="inlineStr">
        <is>
          <t>Shred blk 2c 4@175.00</t>
        </is>
      </c>
      <c r="G6" s="2" t="n">
        <v>700</v>
      </c>
    </row>
    <row r="7">
      <c r="A7" s="17" t="n">
        <v>46104</v>
      </c>
      <c r="B7" s="6" t="n">
        <v>46093</v>
      </c>
      <c r="C7" s="2" t="inlineStr">
        <is>
          <t>dba Barringer Ag</t>
        </is>
      </c>
      <c r="D7" s="2" t="inlineStr">
        <is>
          <t>Blk 13</t>
        </is>
      </c>
      <c r="E7" s="2" t="inlineStr">
        <is>
          <t>Shred</t>
        </is>
      </c>
      <c r="F7" s="2" t="inlineStr">
        <is>
          <t>Shred blk 13 2.25@175.00</t>
        </is>
      </c>
      <c r="G7" s="2" t="n">
        <v>393.75</v>
      </c>
    </row>
    <row r="8">
      <c r="A8" s="17" t="n">
        <v>46104</v>
      </c>
      <c r="B8" s="6" t="n">
        <v>46093</v>
      </c>
      <c r="C8" s="2" t="inlineStr">
        <is>
          <t>dba Barringer Ag</t>
        </is>
      </c>
      <c r="D8" s="2" t="inlineStr">
        <is>
          <t>Blk 16</t>
        </is>
      </c>
      <c r="E8" s="2" t="inlineStr">
        <is>
          <t>Shred</t>
        </is>
      </c>
      <c r="F8" s="2" t="inlineStr">
        <is>
          <t>Shred blk 16 6.5@175.00</t>
        </is>
      </c>
      <c r="G8" s="18" t="n">
        <v>1137.5</v>
      </c>
    </row>
    <row r="9">
      <c r="A9" s="17" t="n">
        <v>46104</v>
      </c>
      <c r="B9" s="6" t="n">
        <v>46093</v>
      </c>
      <c r="C9" s="2" t="inlineStr">
        <is>
          <t>dba Barringer Ag</t>
        </is>
      </c>
      <c r="D9" s="2" t="inlineStr">
        <is>
          <t>Blk 18</t>
        </is>
      </c>
      <c r="E9" s="2" t="inlineStr">
        <is>
          <t>Shred</t>
        </is>
      </c>
      <c r="F9" s="2" t="inlineStr">
        <is>
          <t>Shred blk 18 4.25@175.00</t>
        </is>
      </c>
      <c r="G9" s="2" t="n">
        <v>743.75</v>
      </c>
    </row>
    <row r="10">
      <c r="A10" s="17" t="n">
        <v>46104</v>
      </c>
      <c r="B10" s="6" t="n">
        <v>46093</v>
      </c>
      <c r="C10" s="2" t="inlineStr">
        <is>
          <t>dba Barringer Ag</t>
        </is>
      </c>
      <c r="D10" s="2" t="inlineStr">
        <is>
          <t>Blk 19</t>
        </is>
      </c>
      <c r="E10" s="2" t="inlineStr">
        <is>
          <t>Shred</t>
        </is>
      </c>
      <c r="F10" s="2" t="inlineStr">
        <is>
          <t>Shred blk 19 1.25@175.00</t>
        </is>
      </c>
      <c r="G10" s="2" t="n">
        <v>218.75</v>
      </c>
    </row>
    <row r="11">
      <c r="A11" s="17" t="n">
        <v>46104</v>
      </c>
      <c r="B11" s="6" t="n">
        <v>46083</v>
      </c>
      <c r="C11" s="2" t="inlineStr">
        <is>
          <t>J. Garcia Jr. Contracting Inc</t>
        </is>
      </c>
      <c r="D11" s="2" t="inlineStr">
        <is>
          <t>Blk 18</t>
        </is>
      </c>
      <c r="E11" s="2" t="inlineStr">
        <is>
          <t>Prune</t>
        </is>
      </c>
      <c r="F11" s="2" t="inlineStr">
        <is>
          <t>#958 Blk 18 Pruning</t>
        </is>
      </c>
      <c r="G11" s="18" t="n">
        <v>11494.8</v>
      </c>
    </row>
    <row r="12">
      <c r="A12" s="17" t="n">
        <v>46104</v>
      </c>
      <c r="B12" s="6" t="n">
        <v>46083</v>
      </c>
      <c r="C12" s="2" t="inlineStr">
        <is>
          <t>J. Garcia Jr. Contracting Inc</t>
        </is>
      </c>
      <c r="D12" s="2" t="inlineStr">
        <is>
          <t>Blk 19</t>
        </is>
      </c>
      <c r="E12" s="2" t="inlineStr">
        <is>
          <t>Prune</t>
        </is>
      </c>
      <c r="F12" s="2" t="inlineStr">
        <is>
          <t>#958 Blk 19 Pruning</t>
        </is>
      </c>
      <c r="G12" s="18" t="n">
        <v>3878.4</v>
      </c>
    </row>
    <row r="13">
      <c r="A13" s="17" t="n">
        <v>46104</v>
      </c>
      <c r="B13" s="6" t="n">
        <v>46083</v>
      </c>
      <c r="C13" s="2" t="inlineStr">
        <is>
          <t>J. Garcia Jr. Contracting Inc</t>
        </is>
      </c>
      <c r="D13" s="2" t="inlineStr">
        <is>
          <t>Blk 13</t>
        </is>
      </c>
      <c r="E13" s="2" t="inlineStr">
        <is>
          <t>Prune</t>
        </is>
      </c>
      <c r="F13" s="2" t="inlineStr">
        <is>
          <t>#958 Blk 13W Pruning</t>
        </is>
      </c>
      <c r="G13" s="18" t="n">
        <v>1104.25</v>
      </c>
    </row>
    <row r="14">
      <c r="A14" s="17" t="n">
        <v>46104</v>
      </c>
      <c r="B14" s="6" t="n">
        <v>46083</v>
      </c>
      <c r="C14" s="2" t="inlineStr">
        <is>
          <t>J. Garcia Jr. Contracting Inc</t>
        </is>
      </c>
      <c r="D14" s="2" t="inlineStr">
        <is>
          <t>Blk 13</t>
        </is>
      </c>
      <c r="E14" s="2" t="inlineStr">
        <is>
          <t>Prune</t>
        </is>
      </c>
      <c r="F14" s="2" t="inlineStr">
        <is>
          <t>#958 Blk 13E Pruning</t>
        </is>
      </c>
      <c r="G14" s="18" t="n">
        <v>1863.75</v>
      </c>
    </row>
    <row r="15">
      <c r="A15" s="17" t="n">
        <v>46104</v>
      </c>
      <c r="B15" s="6" t="n">
        <v>46083</v>
      </c>
      <c r="C15" s="2" t="inlineStr">
        <is>
          <t>J. Garcia Jr. Contracting Inc</t>
        </is>
      </c>
      <c r="D15" s="2" t="inlineStr">
        <is>
          <t>Blk 9</t>
        </is>
      </c>
      <c r="E15" s="2" t="inlineStr">
        <is>
          <t>Prune</t>
        </is>
      </c>
      <c r="F15" s="2" t="inlineStr">
        <is>
          <t>#958 Blk 9 Pruning 9 rows</t>
        </is>
      </c>
      <c r="G15" s="18" t="n">
        <v>5546</v>
      </c>
    </row>
    <row r="16">
      <c r="A16" s="17" t="n">
        <v>46129</v>
      </c>
      <c r="B16" s="6" t="n">
        <v>46083</v>
      </c>
      <c r="C16" s="2" t="inlineStr">
        <is>
          <t>J. Garcia Jr. Contracting Inc</t>
        </is>
      </c>
      <c r="D16" s="2" t="inlineStr">
        <is>
          <t>Blk 14</t>
        </is>
      </c>
      <c r="E16" s="2" t="inlineStr">
        <is>
          <t>Prune</t>
        </is>
      </c>
      <c r="F16" s="2" t="inlineStr">
        <is>
          <t>3/14 #966 Blk 14 Pruning</t>
        </is>
      </c>
      <c r="G16" s="18" t="n">
        <v>3219.75</v>
      </c>
    </row>
    <row r="17">
      <c r="A17" s="17" t="n">
        <v>46129</v>
      </c>
      <c r="B17" s="6" t="n">
        <v>46083</v>
      </c>
      <c r="C17" s="2" t="inlineStr">
        <is>
          <t>J. Garcia Jr. Contracting Inc</t>
        </is>
      </c>
      <c r="D17" s="2" t="inlineStr">
        <is>
          <t>Blk 1</t>
        </is>
      </c>
      <c r="E17" s="2" t="inlineStr">
        <is>
          <t>Net Repair</t>
        </is>
      </c>
      <c r="F17" s="2" t="inlineStr">
        <is>
          <t>3/16 #966 Blk 1 Netting repair</t>
        </is>
      </c>
      <c r="G17" s="18" t="n">
        <v>3031.81</v>
      </c>
    </row>
    <row r="18">
      <c r="A18" s="17" t="n">
        <v>46129</v>
      </c>
      <c r="B18" s="6" t="n">
        <v>46083</v>
      </c>
      <c r="C18" s="2" t="inlineStr">
        <is>
          <t>J. Garcia Jr. Contracting Inc</t>
        </is>
      </c>
      <c r="D18" s="2" t="inlineStr">
        <is>
          <t>Blk 1</t>
        </is>
      </c>
      <c r="E18" s="2" t="inlineStr">
        <is>
          <t>Net Repair</t>
        </is>
      </c>
      <c r="F18" s="2" t="inlineStr">
        <is>
          <t>3/17 #966 Blk 1 Netting repair</t>
        </is>
      </c>
      <c r="G18" s="18" t="n">
        <v>3031.81</v>
      </c>
    </row>
    <row r="19">
      <c r="A19" s="17" t="n">
        <v>46129</v>
      </c>
      <c r="B19" s="6" t="n">
        <v>46083</v>
      </c>
      <c r="C19" s="2" t="inlineStr">
        <is>
          <t>J. Garcia Jr. Contracting Inc</t>
        </is>
      </c>
      <c r="D19" s="2" t="inlineStr">
        <is>
          <t>Blk 2b</t>
        </is>
      </c>
      <c r="E19" s="2" t="inlineStr">
        <is>
          <t>Net Repair</t>
        </is>
      </c>
      <c r="F19" s="2" t="inlineStr">
        <is>
          <t>3/18 #966 Blk 2 Netting Repair</t>
        </is>
      </c>
      <c r="G19" s="18" t="n">
        <v>3031.81</v>
      </c>
    </row>
    <row r="20">
      <c r="A20" s="17" t="n">
        <v>46129</v>
      </c>
      <c r="B20" s="6" t="n">
        <v>46093</v>
      </c>
      <c r="C20" s="2" t="inlineStr">
        <is>
          <t>Paragon Personnel Inc</t>
        </is>
      </c>
      <c r="D20" s="2" t="inlineStr">
        <is>
          <t>Blk 1 &amp; Blk 2b</t>
        </is>
      </c>
      <c r="E20" s="2" t="inlineStr">
        <is>
          <t>Install Netting</t>
        </is>
      </c>
      <c r="F20" s="2" t="inlineStr">
        <is>
          <t>129984 Install mesh/netting Mandarins 3/9/26-3/15/261 108.5hrs</t>
        </is>
      </c>
      <c r="G20" s="18" t="n">
        <v>4858.98</v>
      </c>
    </row>
    <row r="21">
      <c r="A21" s="17" t="n">
        <v>46129</v>
      </c>
      <c r="B21" s="6" t="n">
        <v>46093</v>
      </c>
      <c r="C21" s="2" t="inlineStr">
        <is>
          <t>Paragon Personnel Inc</t>
        </is>
      </c>
      <c r="D21" s="2" t="inlineStr">
        <is>
          <t>Blk 1 &amp; Blk 2b</t>
        </is>
      </c>
      <c r="E21" s="2" t="inlineStr">
        <is>
          <t>Install Netting</t>
        </is>
      </c>
      <c r="F21" s="2" t="inlineStr">
        <is>
          <t>129980 Install mesh Clementines 3/9/26-3/15/26</t>
        </is>
      </c>
      <c r="G21" s="18" t="n">
        <v>4386.34</v>
      </c>
    </row>
    <row r="22">
      <c r="A22" s="17" t="n">
        <v>46142</v>
      </c>
      <c r="B22" s="6" t="n">
        <v>46128</v>
      </c>
      <c r="C22" s="2" t="inlineStr">
        <is>
          <t>dba Barringer Ag</t>
        </is>
      </c>
      <c r="D22" s="2" t="inlineStr">
        <is>
          <t>Blk 9</t>
        </is>
      </c>
      <c r="E22" s="2" t="inlineStr">
        <is>
          <t>Shred</t>
        </is>
      </c>
      <c r="F22" s="2" t="inlineStr">
        <is>
          <t>Shred blk 9 3 acres @$175.00</t>
        </is>
      </c>
      <c r="G22" s="2" t="n">
        <v>525</v>
      </c>
    </row>
    <row r="23">
      <c r="A23" s="17" t="n">
        <v>46142</v>
      </c>
      <c r="B23" s="6" t="n">
        <v>46128</v>
      </c>
      <c r="C23" s="2" t="inlineStr">
        <is>
          <t>dba Barringer Ag</t>
        </is>
      </c>
      <c r="D23" s="2" t="inlineStr">
        <is>
          <t>Blk 13</t>
        </is>
      </c>
      <c r="E23" s="2" t="inlineStr">
        <is>
          <t>Shred</t>
        </is>
      </c>
      <c r="F23" s="2" t="inlineStr">
        <is>
          <t>Shred blk 13 1.25@175.00</t>
        </is>
      </c>
      <c r="G23" s="2" t="n">
        <v>218.75</v>
      </c>
    </row>
    <row r="24">
      <c r="A24" s="17" t="n">
        <v>46142</v>
      </c>
      <c r="B24" s="6" t="n">
        <v>46128</v>
      </c>
      <c r="C24" s="2" t="inlineStr">
        <is>
          <t>dba Barringer Ag</t>
        </is>
      </c>
      <c r="D24" s="2" t="inlineStr">
        <is>
          <t>Blk 14</t>
        </is>
      </c>
      <c r="E24" s="2" t="inlineStr">
        <is>
          <t>Shred</t>
        </is>
      </c>
      <c r="F24" s="2" t="inlineStr">
        <is>
          <t>Shred blk 14 2@175.00</t>
        </is>
      </c>
      <c r="G24" s="2" t="n">
        <v>350</v>
      </c>
    </row>
    <row r="25">
      <c r="A25" s="17" t="n">
        <v>46142</v>
      </c>
      <c r="B25" s="6" t="n">
        <v>46128</v>
      </c>
      <c r="C25" s="2" t="inlineStr">
        <is>
          <t>dba Barringer Ag</t>
        </is>
      </c>
      <c r="D25" s="2" t="inlineStr">
        <is>
          <t>Blk 17</t>
        </is>
      </c>
      <c r="E25" s="2" t="inlineStr">
        <is>
          <t>Spray</t>
        </is>
      </c>
      <c r="F25" s="2" t="inlineStr">
        <is>
          <t>Thrip spray blk 17 10@42</t>
        </is>
      </c>
      <c r="G25" s="2" t="n">
        <v>420</v>
      </c>
    </row>
    <row r="26">
      <c r="A26" s="17" t="n">
        <v>46142</v>
      </c>
      <c r="B26" s="6" t="n">
        <v>46128</v>
      </c>
      <c r="C26" s="2" t="inlineStr">
        <is>
          <t>dba Barringer Ag</t>
        </is>
      </c>
      <c r="D26" s="2" t="inlineStr">
        <is>
          <t>Blk 7</t>
        </is>
      </c>
      <c r="E26" s="2" t="inlineStr">
        <is>
          <t>Spray</t>
        </is>
      </c>
      <c r="F26" s="2" t="inlineStr">
        <is>
          <t>Thrip spray blk 7 24@42.00</t>
        </is>
      </c>
      <c r="G26" s="18" t="n">
        <v>1008</v>
      </c>
    </row>
    <row r="27">
      <c r="A27" s="17" t="n">
        <v>46150</v>
      </c>
      <c r="B27" s="6" t="n">
        <v>46146</v>
      </c>
      <c r="C27" s="2" t="inlineStr">
        <is>
          <t>J. Garcia Jr. Contracting Inc</t>
        </is>
      </c>
      <c r="D27" s="2" t="inlineStr">
        <is>
          <t>Blk 9</t>
        </is>
      </c>
      <c r="E27" s="2" t="inlineStr">
        <is>
          <t>Unknown</t>
        </is>
      </c>
      <c r="F27" s="2" t="inlineStr">
        <is>
          <t>5/4 #969 Blk 9 2126@2.95</t>
        </is>
      </c>
      <c r="G27" s="18" t="n">
        <v>6271.7</v>
      </c>
    </row>
    <row r="28">
      <c r="A28" s="17" t="n">
        <v>46150</v>
      </c>
      <c r="B28" s="6" t="n">
        <v>46146</v>
      </c>
      <c r="C28" s="2" t="inlineStr">
        <is>
          <t>J. Garcia Jr. Contracting Inc</t>
        </is>
      </c>
      <c r="D28" s="2" t="inlineStr">
        <is>
          <t>Blk 15</t>
        </is>
      </c>
      <c r="E28" s="2" t="inlineStr">
        <is>
          <t>Unknown</t>
        </is>
      </c>
      <c r="F28" s="2" t="inlineStr">
        <is>
          <t>5/4 #969 Blk 15 1296@2.65</t>
        </is>
      </c>
      <c r="G28" s="18" t="n">
        <v>3434.4</v>
      </c>
    </row>
    <row r="29">
      <c r="A29" s="17" t="n">
        <v>46156</v>
      </c>
      <c r="B29" s="6" t="n">
        <v>46146</v>
      </c>
      <c r="C29" s="2" t="inlineStr">
        <is>
          <t>High Sierra Ag Inc</t>
        </is>
      </c>
      <c r="D29" s="2" t="inlineStr">
        <is>
          <t>Blk 1 &amp; Blk 2b</t>
        </is>
      </c>
      <c r="E29" s="2" t="inlineStr">
        <is>
          <t>Removing Netting</t>
        </is>
      </c>
      <c r="F29" s="2" t="inlineStr">
        <is>
          <t>Apply and remove bee nets on 31 acres @$300</t>
        </is>
      </c>
      <c r="G29" s="18" t="n">
        <v>9300</v>
      </c>
    </row>
    <row r="30">
      <c r="A30" s="17" t="n">
        <v>46171</v>
      </c>
      <c r="B30" s="6" t="n">
        <v>46139</v>
      </c>
      <c r="C30" s="2" t="inlineStr">
        <is>
          <t>Paragon Personnel Inc</t>
        </is>
      </c>
      <c r="D30" s="2" t="inlineStr">
        <is>
          <t>Blk 1 &amp; Blk 2b</t>
        </is>
      </c>
      <c r="E30" s="2" t="inlineStr">
        <is>
          <t>Removing Netting</t>
        </is>
      </c>
      <c r="F30" s="2" t="inlineStr">
        <is>
          <t>134860 Remove netting Citrus 4/27/26-5/3/26 64hrs</t>
        </is>
      </c>
      <c r="G30" s="18" t="n">
        <v>3360.58</v>
      </c>
    </row>
    <row r="31">
      <c r="A31" s="17" t="n">
        <v>46171</v>
      </c>
      <c r="B31" s="6" t="n">
        <v>46167</v>
      </c>
      <c r="C31" s="2" t="inlineStr">
        <is>
          <t>J. Garcia Jr. Contracting Inc</t>
        </is>
      </c>
      <c r="D31" s="2" t="inlineStr">
        <is>
          <t>Blk 1</t>
        </is>
      </c>
      <c r="E31" s="2" t="inlineStr">
        <is>
          <t>Hoe Weeks</t>
        </is>
      </c>
      <c r="F31" s="2" t="inlineStr">
        <is>
          <t>20Acres@60 Blk 1 Hoe Weeds</t>
        </is>
      </c>
      <c r="G31" s="18" t="n">
        <v>1200</v>
      </c>
    </row>
    <row r="32">
      <c r="A32" s="17" t="n">
        <v>46171</v>
      </c>
      <c r="B32" s="6" t="n">
        <v>46167</v>
      </c>
      <c r="C32" s="2" t="inlineStr">
        <is>
          <t>J. Garcia Jr. Contracting Inc</t>
        </is>
      </c>
      <c r="D32" s="2" t="inlineStr">
        <is>
          <t>Blk 1</t>
        </is>
      </c>
      <c r="E32" s="2" t="inlineStr">
        <is>
          <t>Sucker</t>
        </is>
      </c>
      <c r="F32" s="2" t="inlineStr">
        <is>
          <t>4437@.85 Blk 1 Suckering</t>
        </is>
      </c>
      <c r="G32" s="18" t="n">
        <v>3771.45</v>
      </c>
    </row>
    <row r="33">
      <c r="A33" s="17" t="n">
        <v>46171</v>
      </c>
      <c r="B33" s="6" t="n">
        <v>46167</v>
      </c>
      <c r="C33" s="2" t="inlineStr">
        <is>
          <t>J. Garcia Jr. Contracting Inc</t>
        </is>
      </c>
      <c r="D33" s="2" t="inlineStr">
        <is>
          <t>Blk 2b</t>
        </is>
      </c>
      <c r="E33" s="2" t="inlineStr">
        <is>
          <t>Sucker</t>
        </is>
      </c>
      <c r="F33" s="2" t="inlineStr">
        <is>
          <t>2665@.85 Blk 2C Suckering</t>
        </is>
      </c>
      <c r="G33" s="18" t="n">
        <v>2265.25</v>
      </c>
    </row>
    <row r="34">
      <c r="A34" s="17" t="n">
        <v>46171</v>
      </c>
      <c r="B34" s="6" t="n">
        <v>46167</v>
      </c>
      <c r="C34" s="2" t="inlineStr">
        <is>
          <t>J. Garcia Jr. Contracting Inc</t>
        </is>
      </c>
      <c r="D34" s="2" t="inlineStr">
        <is>
          <t>Blk 2a</t>
        </is>
      </c>
      <c r="E34" s="2" t="inlineStr">
        <is>
          <t>Prune</t>
        </is>
      </c>
      <c r="F34" s="2" t="inlineStr">
        <is>
          <t>875@2.25 Blk 2T Pruning</t>
        </is>
      </c>
      <c r="G34" s="18" t="n">
        <v>1968.75</v>
      </c>
    </row>
    <row r="35">
      <c r="A35" s="17" t="n">
        <v>46171</v>
      </c>
      <c r="B35" s="6" t="n">
        <v>46167</v>
      </c>
      <c r="C35" s="2" t="inlineStr">
        <is>
          <t>J. Garcia Jr. Contracting Inc</t>
        </is>
      </c>
      <c r="D35" s="2" t="inlineStr">
        <is>
          <t>Blk 3</t>
        </is>
      </c>
      <c r="E35" s="2" t="inlineStr">
        <is>
          <t>Stack Bruch</t>
        </is>
      </c>
      <c r="F35" s="2" t="inlineStr">
        <is>
          <t>20Acres@45 Blk 3 Stack Brush</t>
        </is>
      </c>
      <c r="G35" s="2" t="n">
        <v>900</v>
      </c>
    </row>
    <row r="36">
      <c r="A36" s="17" t="n">
        <v>46171</v>
      </c>
      <c r="B36" s="6" t="n">
        <v>46167</v>
      </c>
      <c r="C36" s="2" t="inlineStr">
        <is>
          <t>J. Garcia Jr. Contracting Inc</t>
        </is>
      </c>
      <c r="D36" s="2" t="inlineStr">
        <is>
          <t>Blk 8</t>
        </is>
      </c>
      <c r="E36" s="2" t="inlineStr">
        <is>
          <t>Prune</t>
        </is>
      </c>
      <c r="F36" s="2" t="inlineStr">
        <is>
          <t>1992@3.25 Blk 8 Pruning</t>
        </is>
      </c>
      <c r="G36" s="18" t="n">
        <v>6474</v>
      </c>
    </row>
    <row r="37">
      <c r="A37" s="17" t="n">
        <v>46171</v>
      </c>
      <c r="B37" s="6" t="n">
        <v>46167</v>
      </c>
      <c r="C37" s="2" t="inlineStr">
        <is>
          <t>J. Garcia Jr. Contracting Inc</t>
        </is>
      </c>
      <c r="D37" s="2" t="inlineStr">
        <is>
          <t>Blk 16</t>
        </is>
      </c>
      <c r="E37" s="2" t="inlineStr">
        <is>
          <t>Stack Bruch</t>
        </is>
      </c>
      <c r="F37" s="2" t="inlineStr">
        <is>
          <t>20Acres@45 Blk 16 Stack Brush</t>
        </is>
      </c>
      <c r="G37" s="2" t="n">
        <v>900</v>
      </c>
    </row>
    <row r="38">
      <c r="A38" s="17" t="n">
        <v>46171</v>
      </c>
      <c r="B38" s="6" t="n">
        <v>46167</v>
      </c>
      <c r="C38" s="2" t="inlineStr">
        <is>
          <t>J. Garcia Jr. Contracting Inc</t>
        </is>
      </c>
      <c r="D38" s="2" t="inlineStr">
        <is>
          <t>Blk 17</t>
        </is>
      </c>
      <c r="E38" s="2" t="inlineStr">
        <is>
          <t>Prune</t>
        </is>
      </c>
      <c r="F38" s="2" t="inlineStr">
        <is>
          <t>2946@2.10 Blk 17 Pruning</t>
        </is>
      </c>
      <c r="G38" s="18" t="n">
        <v>6186.6</v>
      </c>
    </row>
    <row r="39">
      <c r="A39" s="17" t="n">
        <v>46182</v>
      </c>
      <c r="B39" s="6" t="n">
        <v>46170</v>
      </c>
      <c r="C39" s="2" t="inlineStr">
        <is>
          <t>Foothill Ag Services Inc</t>
        </is>
      </c>
      <c r="D39" s="2" t="inlineStr">
        <is>
          <t>Blk 3</t>
        </is>
      </c>
      <c r="E39" s="2" t="inlineStr">
        <is>
          <t>Hedge</t>
        </is>
      </c>
      <c r="F39" s="2" t="inlineStr">
        <is>
          <t>Block 3 Navels hedging</t>
        </is>
      </c>
      <c r="G39" s="2" t="n">
        <v>530</v>
      </c>
    </row>
    <row r="40">
      <c r="A40" s="17" t="n">
        <v>46182</v>
      </c>
      <c r="B40" s="6" t="n">
        <v>46170</v>
      </c>
      <c r="C40" s="2" t="inlineStr">
        <is>
          <t>Foothill Ag Services Inc</t>
        </is>
      </c>
      <c r="D40" s="2" t="inlineStr">
        <is>
          <t>Blk 8</t>
        </is>
      </c>
      <c r="E40" s="2" t="inlineStr">
        <is>
          <t>Top</t>
        </is>
      </c>
      <c r="F40" s="2" t="inlineStr">
        <is>
          <t>Block 8 Lane Lates topping</t>
        </is>
      </c>
      <c r="G40" s="18" t="n">
        <v>1100</v>
      </c>
    </row>
    <row r="41">
      <c r="A41" s="17" t="n">
        <v>46182</v>
      </c>
      <c r="B41" s="6" t="n">
        <v>46170</v>
      </c>
      <c r="C41" s="2" t="inlineStr">
        <is>
          <t>Foothill Ag Services Inc</t>
        </is>
      </c>
      <c r="D41" s="2" t="inlineStr">
        <is>
          <t>Blk 16</t>
        </is>
      </c>
      <c r="E41" s="2" t="inlineStr">
        <is>
          <t>Top</t>
        </is>
      </c>
      <c r="F41" s="2" t="inlineStr">
        <is>
          <t>Block 16 Lemons topping</t>
        </is>
      </c>
      <c r="G41" s="2" t="n">
        <v>990</v>
      </c>
    </row>
    <row r="42">
      <c r="A42" s="17" t="n">
        <v>46182</v>
      </c>
      <c r="B42" s="6" t="n">
        <v>46181</v>
      </c>
      <c r="C42" s="2" t="inlineStr">
        <is>
          <t>J. Garcia Jr. Contracting Inc</t>
        </is>
      </c>
      <c r="D42" s="2" t="inlineStr">
        <is>
          <t>Blk 2a</t>
        </is>
      </c>
      <c r="E42" s="2" t="inlineStr">
        <is>
          <t>Prune</t>
        </is>
      </c>
      <c r="F42" s="2" t="inlineStr">
        <is>
          <t>1208@2.25 Blk 2T Pruning</t>
        </is>
      </c>
      <c r="G42" s="18" t="n">
        <v>2718</v>
      </c>
    </row>
    <row r="43">
      <c r="A43" s="17" t="n">
        <v>46182</v>
      </c>
      <c r="B43" s="6" t="n">
        <v>46181</v>
      </c>
      <c r="C43" s="2" t="inlineStr">
        <is>
          <t>J. Garcia Jr. Contracting Inc</t>
        </is>
      </c>
      <c r="D43" s="2" t="inlineStr">
        <is>
          <t>Blk 11</t>
        </is>
      </c>
      <c r="E43" s="2" t="inlineStr">
        <is>
          <t>Prune</t>
        </is>
      </c>
      <c r="F43" s="2" t="inlineStr">
        <is>
          <t>4443@2.25 Blk 11 Pruning</t>
        </is>
      </c>
      <c r="G43" s="18" t="n">
        <v>9996.75</v>
      </c>
    </row>
    <row r="44">
      <c r="A44" s="17" t="n">
        <v>46213</v>
      </c>
      <c r="B44" s="6" t="n">
        <v>46198</v>
      </c>
      <c r="C44" s="2" t="inlineStr">
        <is>
          <t>dba Barringer Ag</t>
        </is>
      </c>
      <c r="D44" s="2" t="inlineStr">
        <is>
          <t>Blk 9</t>
        </is>
      </c>
      <c r="E44" s="2" t="inlineStr">
        <is>
          <t>Shred</t>
        </is>
      </c>
      <c r="F44" s="2" t="inlineStr">
        <is>
          <t>Shred blk 9 2.25@$175.00</t>
        </is>
      </c>
      <c r="G44" s="2" t="n">
        <v>393.75</v>
      </c>
    </row>
    <row r="45">
      <c r="A45" s="17" t="n">
        <v>46213</v>
      </c>
      <c r="B45" s="6" t="n">
        <v>46198</v>
      </c>
      <c r="C45" s="2" t="inlineStr">
        <is>
          <t>dba Barringer Ag</t>
        </is>
      </c>
      <c r="D45" s="2" t="inlineStr">
        <is>
          <t>Blk 15</t>
        </is>
      </c>
      <c r="E45" s="2" t="inlineStr">
        <is>
          <t>Shred</t>
        </is>
      </c>
      <c r="F45" s="2" t="inlineStr">
        <is>
          <t>Shred blk 15 2@175.00</t>
        </is>
      </c>
      <c r="G45" s="2" t="n">
        <v>350</v>
      </c>
    </row>
    <row r="46">
      <c r="A46" s="17" t="n">
        <v>46213</v>
      </c>
      <c r="B46" s="6" t="n">
        <v>46198</v>
      </c>
      <c r="C46" s="2" t="inlineStr">
        <is>
          <t>dba Barringer Ag</t>
        </is>
      </c>
      <c r="D46" s="2" t="inlineStr">
        <is>
          <t>Blk 1</t>
        </is>
      </c>
      <c r="E46" s="2" t="inlineStr">
        <is>
          <t>Shred</t>
        </is>
      </c>
      <c r="F46" s="2" t="inlineStr">
        <is>
          <t>Shred blk 1 2.25@175.00</t>
        </is>
      </c>
      <c r="G46" s="2" t="n">
        <v>393.75</v>
      </c>
    </row>
    <row r="47">
      <c r="A47" s="17" t="n">
        <v>46213</v>
      </c>
      <c r="B47" s="6" t="n">
        <v>46198</v>
      </c>
      <c r="C47" s="2" t="inlineStr">
        <is>
          <t>dba Barringer Ag</t>
        </is>
      </c>
      <c r="D47" s="2" t="inlineStr">
        <is>
          <t>Blk 2b</t>
        </is>
      </c>
      <c r="E47" s="2" t="inlineStr">
        <is>
          <t>Shred</t>
        </is>
      </c>
      <c r="F47" s="2" t="inlineStr">
        <is>
          <t>Shred blk 2C 1.25@175.00</t>
        </is>
      </c>
      <c r="G47" s="2" t="n">
        <v>218.75</v>
      </c>
    </row>
    <row r="48">
      <c r="A48" s="17" t="n">
        <v>46213</v>
      </c>
      <c r="B48" s="6" t="n">
        <v>46198</v>
      </c>
      <c r="C48" s="2" t="inlineStr">
        <is>
          <t>dba Barringer Ag</t>
        </is>
      </c>
      <c r="D48" s="2" t="inlineStr">
        <is>
          <t>Blk 3</t>
        </is>
      </c>
      <c r="E48" s="2" t="inlineStr">
        <is>
          <t>Shred</t>
        </is>
      </c>
      <c r="F48" s="2" t="inlineStr">
        <is>
          <t>Shred blk 3 1.75@175.00</t>
        </is>
      </c>
      <c r="G48" s="2" t="n">
        <v>306.25</v>
      </c>
    </row>
    <row r="49">
      <c r="A49" s="17" t="n">
        <v>46213</v>
      </c>
      <c r="B49" s="6" t="n">
        <v>46198</v>
      </c>
      <c r="C49" s="2" t="inlineStr">
        <is>
          <t>dba Barringer Ag</t>
        </is>
      </c>
      <c r="D49" s="2" t="inlineStr">
        <is>
          <t>Blk 2a</t>
        </is>
      </c>
      <c r="E49" s="2" t="inlineStr">
        <is>
          <t>Shred</t>
        </is>
      </c>
      <c r="F49" s="2" t="inlineStr">
        <is>
          <t>Shred blk 2T 4.25@175.00</t>
        </is>
      </c>
      <c r="G49" s="2" t="n">
        <v>743.75</v>
      </c>
    </row>
    <row r="50">
      <c r="A50" s="17" t="n">
        <v>46213</v>
      </c>
      <c r="B50" s="6" t="n">
        <v>46198</v>
      </c>
      <c r="C50" s="2" t="inlineStr">
        <is>
          <t>dba Barringer Ag</t>
        </is>
      </c>
      <c r="D50" s="2" t="inlineStr">
        <is>
          <t>Blk 17</t>
        </is>
      </c>
      <c r="E50" s="2" t="inlineStr">
        <is>
          <t>Shred</t>
        </is>
      </c>
      <c r="F50" s="2" t="inlineStr">
        <is>
          <t>Shred blk 17 4@175.00</t>
        </is>
      </c>
      <c r="G50" s="2" t="n">
        <v>700</v>
      </c>
    </row>
    <row r="51">
      <c r="A51" s="17" t="n">
        <v>46213</v>
      </c>
      <c r="B51" s="6" t="n">
        <v>46198</v>
      </c>
      <c r="C51" s="2" t="inlineStr">
        <is>
          <t>dba Barringer Ag</t>
        </is>
      </c>
      <c r="D51" s="2" t="inlineStr">
        <is>
          <t xml:space="preserve">Blk 8 </t>
        </is>
      </c>
      <c r="E51" s="2" t="inlineStr">
        <is>
          <t>Shred</t>
        </is>
      </c>
      <c r="F51" s="2" t="inlineStr">
        <is>
          <t>Shred blk 8 6.25@175.00</t>
        </is>
      </c>
      <c r="G51" s="18" t="n">
        <v>1093.75</v>
      </c>
    </row>
    <row r="52">
      <c r="A52" s="17" t="n">
        <v>46213</v>
      </c>
      <c r="B52" s="6" t="n">
        <v>46198</v>
      </c>
      <c r="C52" s="2" t="inlineStr">
        <is>
          <t>dba Barringer Ag</t>
        </is>
      </c>
      <c r="D52" s="2" t="inlineStr">
        <is>
          <t>Blk 16</t>
        </is>
      </c>
      <c r="E52" s="2" t="inlineStr">
        <is>
          <t>Shred</t>
        </is>
      </c>
      <c r="F52" s="2" t="inlineStr">
        <is>
          <t>Shred blk 16 1.75@175.00</t>
        </is>
      </c>
      <c r="G52" s="2" t="n">
        <v>306.25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Meagan Slater</dc:creator>
  <dcterms:created xsi:type="dcterms:W3CDTF">2026-03-11T17:06:39Z</dcterms:created>
  <dcterms:modified xsi:type="dcterms:W3CDTF">2026-08-26T02:27:49Z</dcterms:modified>
  <cp:lastModifiedBy>Meagan Slater</cp:lastModifiedBy>
</cp:coreProperties>
</file>