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>
        <f>E79*16</f>
        <v/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>
        <f>E80*16</f>
        <v/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>
        <f>E81*16</f>
        <v/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>
        <f>E82*16</f>
        <v/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>
        <f>E83*16</f>
        <v/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>
        <f>E84*16</f>
        <v/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>
        <f>E85*16</f>
        <v/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>
        <f>E86*16</f>
        <v/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>
        <f>E87*16</f>
        <v/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>
        <f>E88*16</f>
        <v/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>
        <f>E89*16</f>
        <v/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>
        <f>E90*16</f>
        <v/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>
        <f>E91*16</f>
        <v/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>
        <f>E92*16</f>
        <v/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>
        <f>E93*16</f>
        <v/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>
        <f>E94*16</f>
        <v/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>
        <f>E95*16</f>
        <v/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>
        <f>E96*16</f>
        <v/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>
        <f>E97*16</f>
        <v/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>
        <f>E98*16</f>
        <v/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>
        <f>E99*16</f>
        <v/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>
        <f>E100*16</f>
        <v/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>
        <f>E101*16</f>
        <v/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>
        <f>E102*16</f>
        <v/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>
        <f>E103*16</f>
        <v/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>
        <f>E104*16</f>
        <v/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>
        <f>E105*16</f>
        <v/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>
        <f>E106*16</f>
        <v/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>
        <f>E107*16</f>
        <v/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>
        <f>E108*16</f>
        <v/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>
        <f>E109*16</f>
        <v/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>
        <f>E110*16</f>
        <v/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>
        <f>E111*16</f>
        <v/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>
        <f>E112*16</f>
        <v/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>
        <f>E115*16</f>
        <v/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>
        <f>E116*16</f>
        <v/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>
        <f>E117*16</f>
        <v/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>
        <f>E143*16</f>
        <v/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>
        <f>E144*16</f>
        <v/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>
        <f>E145*16</f>
        <v/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>
        <f>E146*16</f>
        <v/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>
        <f>E147*16</f>
        <v/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>
        <f>E148*16</f>
        <v/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>
        <f>E149*16</f>
        <v/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>
        <f>E150*16</f>
        <v/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>
        <f>E151*16</f>
        <v/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>
        <f>E152*16</f>
        <v/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>
        <f>E153*16</f>
        <v/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>
        <f>E154*16</f>
        <v/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>
        <f>E155*16</f>
        <v/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>
        <f>E156*16</f>
        <v/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>
        <f>E157*16</f>
        <v/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>
        <f>E158*16</f>
        <v/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>
        <f>E159*16</f>
        <v/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>
        <f>E160*16</f>
        <v/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>
        <f>E161*16</f>
        <v/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>
        <f>E162*16</f>
        <v/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>
        <f>E163*16</f>
        <v/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>
        <f>E164*16</f>
        <v/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>
        <f>E165*16</f>
        <v/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>
        <f>E166*16</f>
        <v/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>
        <f>E167*16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5" t="inlineStr">
        <is>
          <t>CLEMENTINES</t>
        </is>
      </c>
      <c r="B10" s="6" t="n">
        <v>46037</v>
      </c>
      <c r="C10" s="11" t="inlineStr">
        <is>
          <t>1</t>
        </is>
      </c>
      <c r="D10" s="9" t="n">
        <v>336</v>
      </c>
      <c r="E10" s="9" t="n">
        <v>21</v>
      </c>
      <c r="F10" s="9" t="n">
        <v>2406</v>
      </c>
      <c r="G10" s="4" t="n">
        <v>0.6604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73</v>
      </c>
      <c r="M10" s="13">
        <f>L10/(N10+L10+J10+H10+F10)</f>
        <v/>
      </c>
      <c r="N10" s="2" t="n">
        <v>1165</v>
      </c>
      <c r="O10" s="13">
        <f>N10/(N10+L10+J10+H10+F10)</f>
        <v/>
      </c>
    </row>
    <row r="11">
      <c r="A11" s="2" t="inlineStr">
        <is>
          <t>CLEMENTINES</t>
        </is>
      </c>
      <c r="B11" s="6" t="n">
        <v>46038</v>
      </c>
      <c r="C11" s="11" t="inlineStr">
        <is>
          <t>2B</t>
        </is>
      </c>
      <c r="D11" s="9" t="n">
        <v>1192</v>
      </c>
      <c r="E11" s="9" t="n">
        <v>74.5</v>
      </c>
      <c r="F11" s="9" t="n">
        <v>4474</v>
      </c>
      <c r="G11" s="4" t="n">
        <v>0.3461</v>
      </c>
      <c r="H11" s="9" t="n">
        <v>0</v>
      </c>
      <c r="I11" s="4" t="n">
        <v>0</v>
      </c>
      <c r="J11" s="9" t="n">
        <v>0</v>
      </c>
      <c r="K11" s="4" t="n">
        <v>0</v>
      </c>
      <c r="L11" s="2" t="n">
        <v>259</v>
      </c>
      <c r="M11" s="13">
        <f>L11/(N11+L11+J11+H11+F11)</f>
        <v/>
      </c>
      <c r="N11" s="2" t="n">
        <v>8193</v>
      </c>
      <c r="O11" s="13">
        <f>N11/(N11+L11+J11+H11+F11)</f>
        <v/>
      </c>
    </row>
    <row r="12">
      <c r="A12" s="2" t="inlineStr">
        <is>
          <t>LEMONS</t>
        </is>
      </c>
      <c r="B12" s="6" t="n">
        <v>45974</v>
      </c>
      <c r="C12" s="11" t="inlineStr">
        <is>
          <t>16L</t>
        </is>
      </c>
      <c r="D12" s="9" t="n">
        <v>1056</v>
      </c>
      <c r="E12" s="9" t="n">
        <v>66</v>
      </c>
      <c r="F12" s="9" t="n">
        <v>968</v>
      </c>
      <c r="G12" s="4" t="n">
        <v>0.9167</v>
      </c>
      <c r="H12" s="9" t="n">
        <v>263</v>
      </c>
      <c r="I12" s="4" t="n">
        <v>0.2491</v>
      </c>
      <c r="J12" s="9" t="n">
        <v>0</v>
      </c>
      <c r="K12" s="4" t="n">
        <v>0</v>
      </c>
      <c r="L12" s="2" t="n">
        <v>29</v>
      </c>
      <c r="M12" s="13">
        <f>L12/(N12+L12+J12+H12+F12)</f>
        <v/>
      </c>
      <c r="N12" s="2" t="n">
        <v>192</v>
      </c>
      <c r="O12" s="13">
        <f>N12/(N12+L12+J12+H12+F12)</f>
        <v/>
      </c>
    </row>
    <row r="13">
      <c r="A13" s="2" t="inlineStr">
        <is>
          <t>LEMONS</t>
        </is>
      </c>
      <c r="B13" s="6" t="n">
        <v>45975</v>
      </c>
      <c r="C13" s="11" t="inlineStr">
        <is>
          <t>16L</t>
        </is>
      </c>
      <c r="D13" s="9" t="n">
        <v>1504</v>
      </c>
      <c r="E13" s="9" t="n">
        <v>94</v>
      </c>
      <c r="F13" s="9" t="n">
        <v>1506</v>
      </c>
      <c r="G13" s="4" t="n">
        <v>1.0013</v>
      </c>
      <c r="H13" s="9" t="n">
        <v>330</v>
      </c>
      <c r="I13" s="4" t="n">
        <v>0.2194</v>
      </c>
      <c r="J13" s="9" t="n">
        <v>0</v>
      </c>
      <c r="K13" s="4" t="n">
        <v>0</v>
      </c>
      <c r="L13" s="2" t="n">
        <v>41</v>
      </c>
      <c r="M13" s="13">
        <f>L13/(N13+L13+J13+H13+F13)</f>
        <v/>
      </c>
      <c r="N13" s="2" t="n">
        <v>191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1</t>
        </is>
      </c>
      <c r="D14" s="9" t="n">
        <v>2304</v>
      </c>
      <c r="E14" s="9" t="n">
        <v>144</v>
      </c>
      <c r="F14" s="9" t="n">
        <v>14300</v>
      </c>
      <c r="G14" s="4" t="n">
        <v>0.5724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500</v>
      </c>
      <c r="M14" s="13">
        <f>L14/(N14+L14+J14+H14+F14)</f>
        <v/>
      </c>
      <c r="N14" s="2" t="n">
        <v>10184</v>
      </c>
      <c r="O14" s="13">
        <f>N14/(N14+L14+J14+H14+F14)</f>
        <v/>
      </c>
    </row>
    <row r="15">
      <c r="A15" s="2" t="inlineStr">
        <is>
          <t>CLEMENTINES</t>
        </is>
      </c>
      <c r="B15" s="6" t="n">
        <v>46012</v>
      </c>
      <c r="C15" s="11" t="inlineStr">
        <is>
          <t>2B</t>
        </is>
      </c>
      <c r="D15" s="9" t="n">
        <v>1536</v>
      </c>
      <c r="E15" s="9" t="n">
        <v>96</v>
      </c>
      <c r="F15" s="9" t="n">
        <v>11683</v>
      </c>
      <c r="G15" s="4" t="n">
        <v>0.7014</v>
      </c>
      <c r="H15" s="9" t="n">
        <v>0</v>
      </c>
      <c r="I15" s="4" t="n">
        <v>0</v>
      </c>
      <c r="J15" s="9" t="n">
        <v>0</v>
      </c>
      <c r="K15" s="4" t="n">
        <v>0</v>
      </c>
      <c r="L15" s="2" t="n">
        <v>333</v>
      </c>
      <c r="M15" s="13">
        <f>L15/(N15+L15+J15+H15+F15)</f>
        <v/>
      </c>
      <c r="N15" s="2" t="n">
        <v>4640</v>
      </c>
      <c r="O15" s="13">
        <f>N15/(N15+L15+J15+H15+F15)</f>
        <v/>
      </c>
    </row>
    <row r="16">
      <c r="A16" s="2" t="inlineStr">
        <is>
          <t>CARA-CARA</t>
        </is>
      </c>
      <c r="B16" s="6" t="n">
        <v>46049</v>
      </c>
      <c r="C16" s="11" t="inlineStr">
        <is>
          <t>19C</t>
        </is>
      </c>
      <c r="D16" s="9" t="n">
        <v>1440</v>
      </c>
      <c r="E16" s="9" t="n">
        <v>90</v>
      </c>
      <c r="F16" s="9" t="n">
        <v>1269</v>
      </c>
      <c r="G16" s="4" t="n">
        <v>0.8813</v>
      </c>
      <c r="H16" s="9" t="n">
        <v>306</v>
      </c>
      <c r="I16" s="4" t="n">
        <v>0.2125</v>
      </c>
      <c r="J16" s="9" t="n">
        <v>0</v>
      </c>
      <c r="K16" s="4" t="n">
        <v>0</v>
      </c>
      <c r="L16" s="2" t="n">
        <v>41</v>
      </c>
      <c r="M16" s="13">
        <f>L16/(N16+L16+J16+H16+F16)</f>
        <v/>
      </c>
      <c r="N16" s="2" t="n">
        <v>454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46046</v>
      </c>
      <c r="C17" s="11" t="inlineStr">
        <is>
          <t>11</t>
        </is>
      </c>
      <c r="D17" s="9" t="n">
        <v>2000</v>
      </c>
      <c r="E17" s="9" t="n">
        <v>125</v>
      </c>
      <c r="F17" s="9" t="n">
        <v>16824</v>
      </c>
      <c r="G17" s="4" t="n">
        <v>0.7756999999999999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434</v>
      </c>
      <c r="M17" s="13">
        <f>L17/(N17+L17+J17+H17+F17)</f>
        <v/>
      </c>
      <c r="N17" s="2" t="n">
        <v>4429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5248</v>
      </c>
      <c r="E18" s="9" t="n">
        <v>328</v>
      </c>
      <c r="F18" s="9" t="n">
        <v>46324</v>
      </c>
      <c r="G18" s="4" t="n">
        <v>0.8139999999999999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1138</v>
      </c>
      <c r="M18" s="13">
        <f>L18/(N18+L18+J18+H18+F18)</f>
        <v/>
      </c>
      <c r="N18" s="2" t="n">
        <v>9446</v>
      </c>
      <c r="O18" s="13">
        <f>N18/(N18+L18+J18+H18+F18)</f>
        <v/>
      </c>
    </row>
    <row r="19">
      <c r="A19" s="2" t="inlineStr">
        <is>
          <t>MURCOTTS</t>
        </is>
      </c>
      <c r="B19" s="6" t="n">
        <v>46049</v>
      </c>
      <c r="C19" s="11" t="inlineStr">
        <is>
          <t>11</t>
        </is>
      </c>
      <c r="D19" s="9" t="n">
        <v>80</v>
      </c>
      <c r="E19" s="9" t="n">
        <v>5</v>
      </c>
      <c r="F19" s="9" t="n">
        <v>550</v>
      </c>
      <c r="G19" s="4" t="n">
        <v>0.634</v>
      </c>
      <c r="H19" s="9" t="n">
        <v>0</v>
      </c>
      <c r="I19" s="4" t="n">
        <v>0</v>
      </c>
      <c r="J19" s="9" t="n">
        <v>0</v>
      </c>
      <c r="K19" s="4" t="n">
        <v>0</v>
      </c>
      <c r="L19" s="2" t="n">
        <v>17</v>
      </c>
      <c r="M19" s="13">
        <f>L19/(N19+L19+J19+H19+F19)</f>
        <v/>
      </c>
      <c r="N19" s="2" t="n">
        <v>301</v>
      </c>
      <c r="O19" s="13">
        <f>N19/(N19+L19+J19+H19+F19)</f>
        <v/>
      </c>
    </row>
    <row r="20">
      <c r="A20" s="2" t="inlineStr">
        <is>
          <t>LEMONS</t>
        </is>
      </c>
      <c r="B20" s="6" t="n">
        <v>45990</v>
      </c>
      <c r="C20" s="11" t="inlineStr">
        <is>
          <t>12</t>
        </is>
      </c>
      <c r="D20" s="9" t="n">
        <v>4656</v>
      </c>
      <c r="E20" s="9" t="n">
        <v>291</v>
      </c>
      <c r="F20" s="9" t="n">
        <v>4001</v>
      </c>
      <c r="G20" s="4" t="n">
        <v>0.8593</v>
      </c>
      <c r="H20" s="9" t="n">
        <v>903</v>
      </c>
      <c r="I20" s="4" t="n">
        <v>0.1939</v>
      </c>
      <c r="J20" s="9" t="n">
        <v>0</v>
      </c>
      <c r="K20" s="4" t="n">
        <v>0</v>
      </c>
      <c r="L20" s="2" t="n">
        <v>128</v>
      </c>
      <c r="M20" s="13">
        <f>L20/(N20+L20+J20+H20+F20)</f>
        <v/>
      </c>
      <c r="N20" s="2" t="n">
        <v>1370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45981</v>
      </c>
      <c r="C21" s="11" t="inlineStr">
        <is>
          <t>1</t>
        </is>
      </c>
      <c r="D21" s="9" t="n">
        <v>1536</v>
      </c>
      <c r="E21" s="9" t="n">
        <v>96</v>
      </c>
      <c r="F21" s="9" t="n">
        <v>13552</v>
      </c>
      <c r="G21" s="4" t="n">
        <v>0.8136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2771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45982</v>
      </c>
      <c r="C22" s="11" t="inlineStr">
        <is>
          <t>1</t>
        </is>
      </c>
      <c r="D22" s="9" t="n">
        <v>1536</v>
      </c>
      <c r="E22" s="9" t="n">
        <v>96</v>
      </c>
      <c r="F22" s="9" t="n">
        <v>14141</v>
      </c>
      <c r="G22" s="4" t="n">
        <v>0.849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333</v>
      </c>
      <c r="M22" s="13">
        <f>L22/(N22+L22+J22+H22+F22)</f>
        <v/>
      </c>
      <c r="N22" s="2" t="n">
        <v>2182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1</t>
        </is>
      </c>
      <c r="D23" s="9" t="n">
        <v>272</v>
      </c>
      <c r="E23" s="9" t="n">
        <v>17</v>
      </c>
      <c r="F23" s="9" t="n">
        <v>2464</v>
      </c>
      <c r="G23" s="4" t="n">
        <v>0.8354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59</v>
      </c>
      <c r="M23" s="13">
        <f>L23/(N23+L23+J23+H23+F23)</f>
        <v/>
      </c>
      <c r="N23" s="2" t="n">
        <v>426</v>
      </c>
      <c r="O23" s="13">
        <f>N23/(N23+L23+J23+H23+F23)</f>
        <v/>
      </c>
    </row>
    <row r="24">
      <c r="A24" s="2" t="inlineStr">
        <is>
          <t>CLEMENTINES</t>
        </is>
      </c>
      <c r="B24" s="6" t="n">
        <v>45985</v>
      </c>
      <c r="C24" s="11" t="inlineStr">
        <is>
          <t>2B</t>
        </is>
      </c>
      <c r="D24" s="9" t="n">
        <v>2928</v>
      </c>
      <c r="E24" s="9" t="n">
        <v>183</v>
      </c>
      <c r="F24" s="9" t="n">
        <v>26289</v>
      </c>
      <c r="G24" s="4" t="n">
        <v>0.828</v>
      </c>
      <c r="H24" s="9" t="n">
        <v>0</v>
      </c>
      <c r="I24" s="4" t="n">
        <v>0</v>
      </c>
      <c r="J24" s="9" t="n">
        <v>0</v>
      </c>
      <c r="K24" s="4" t="n">
        <v>0</v>
      </c>
      <c r="L24" s="2" t="n">
        <v>635</v>
      </c>
      <c r="M24" s="13">
        <f>L24/(N24+L24+J24+H24+F24)</f>
        <v/>
      </c>
      <c r="N24" s="2" t="n">
        <v>4827</v>
      </c>
      <c r="O24" s="13">
        <f>N24/(N24+L24+J24+H24+F24)</f>
        <v/>
      </c>
    </row>
    <row r="25" customFormat="1" s="2">
      <c r="A25" s="2" t="inlineStr">
        <is>
          <t>GRAPEFRUIT</t>
        </is>
      </c>
      <c r="B25" s="6" t="n">
        <v>45964</v>
      </c>
      <c r="C25" s="11" t="inlineStr">
        <is>
          <t>15</t>
        </is>
      </c>
      <c r="D25" s="9">
        <f>E25*16</f>
        <v/>
      </c>
      <c r="E25" s="9" t="n">
        <v>128</v>
      </c>
      <c r="F25" s="9" t="n">
        <v>2512</v>
      </c>
      <c r="G25" s="4" t="n">
        <v>0.89331</v>
      </c>
      <c r="H25" s="9" t="n">
        <v>300</v>
      </c>
      <c r="I25" s="4" t="n">
        <v>0.10669</v>
      </c>
      <c r="J25" s="9" t="n">
        <v>0</v>
      </c>
      <c r="K25" s="4" t="n">
        <v>0</v>
      </c>
      <c r="L25" s="2" t="n">
        <v>59</v>
      </c>
      <c r="M25" s="13">
        <f>L25/(N25+L25+J25+H25+F25)</f>
        <v/>
      </c>
      <c r="N25" s="2" t="n">
        <v>98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3</t>
        </is>
      </c>
      <c r="D26" s="9">
        <f>E26*16</f>
        <v/>
      </c>
      <c r="E26" s="9" t="n">
        <v>200</v>
      </c>
      <c r="F26" s="9" t="n">
        <v>3287</v>
      </c>
      <c r="G26" s="4">
        <f>F26/4333</f>
        <v/>
      </c>
      <c r="H26" s="9" t="n">
        <v>1046</v>
      </c>
      <c r="I26" s="4">
        <f>H26/4333</f>
        <v/>
      </c>
      <c r="J26" s="9" t="n">
        <v>0</v>
      </c>
      <c r="K26" s="4">
        <f>J26/4333</f>
        <v/>
      </c>
      <c r="L26" s="2" t="n">
        <v>93</v>
      </c>
      <c r="M26" s="13">
        <f>L26/(N26+L26+J26+H26+F26)</f>
        <v/>
      </c>
      <c r="N26" s="2" t="n">
        <v>214</v>
      </c>
      <c r="O26" s="13">
        <f>N26/(N26+L26+J26+H26+F26)</f>
        <v/>
      </c>
    </row>
    <row r="27">
      <c r="A27" s="2" t="inlineStr">
        <is>
          <t>NAVEL</t>
        </is>
      </c>
      <c r="B27" s="6" t="n">
        <v>46085</v>
      </c>
      <c r="C27" s="11" t="inlineStr">
        <is>
          <t>14W</t>
        </is>
      </c>
      <c r="D27" s="9">
        <f>E27*16</f>
        <v/>
      </c>
      <c r="E27" s="9" t="n">
        <v>114</v>
      </c>
      <c r="F27" s="9" t="n">
        <v>1722</v>
      </c>
      <c r="G27" s="4">
        <f>F27/2131</f>
        <v/>
      </c>
      <c r="H27" s="9" t="n">
        <v>409</v>
      </c>
      <c r="I27" s="4">
        <f>H27/2131</f>
        <v/>
      </c>
      <c r="J27" s="9" t="n">
        <v>0</v>
      </c>
      <c r="K27" s="4">
        <f>J27/2131</f>
        <v/>
      </c>
      <c r="L27" s="2" t="n">
        <v>53</v>
      </c>
      <c r="M27" s="13">
        <f>L27/(N27+L27+J27+H27+F27)</f>
        <v/>
      </c>
      <c r="N27" s="2" t="n">
        <v>461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13W</t>
        </is>
      </c>
      <c r="D28" s="9" t="n">
        <v>2544</v>
      </c>
      <c r="E28" s="9">
        <f>D28/16</f>
        <v/>
      </c>
      <c r="F28" s="9" t="n">
        <v>2620</v>
      </c>
      <c r="G28" s="4" t="n">
        <v>0.7164</v>
      </c>
      <c r="H28" s="9" t="n">
        <v>544</v>
      </c>
      <c r="I28" s="4" t="n">
        <v>0.1488</v>
      </c>
      <c r="J28" s="9" t="n">
        <v>0</v>
      </c>
      <c r="K28" s="4" t="n">
        <v>0</v>
      </c>
      <c r="L28" s="2" t="n">
        <v>73</v>
      </c>
      <c r="M28" s="13">
        <f>L28/(N28+L28+J28+H28+F28)</f>
        <v/>
      </c>
      <c r="N28" s="2" t="n">
        <v>420</v>
      </c>
      <c r="O28" s="13">
        <f>N28/(N28+L28+J28+H28+F28)</f>
        <v/>
      </c>
    </row>
    <row r="29">
      <c r="A29" s="2" t="inlineStr">
        <is>
          <t>NAVEL</t>
        </is>
      </c>
      <c r="B29" s="6" t="n">
        <v>46055</v>
      </c>
      <c r="C29" s="11" t="inlineStr">
        <is>
          <t>18W</t>
        </is>
      </c>
      <c r="D29" s="9" t="n">
        <v>3840</v>
      </c>
      <c r="E29" s="9">
        <f>D29/16</f>
        <v/>
      </c>
      <c r="F29" s="9" t="n">
        <v>3261</v>
      </c>
      <c r="G29" s="4" t="n">
        <v>0.8492</v>
      </c>
      <c r="H29" s="9" t="n">
        <v>1049</v>
      </c>
      <c r="I29" s="4" t="n">
        <v>0.2732</v>
      </c>
      <c r="J29" s="9" t="n">
        <v>0</v>
      </c>
      <c r="K29" s="4" t="n">
        <v>0</v>
      </c>
      <c r="L29" s="2" t="n">
        <v>110</v>
      </c>
      <c r="M29" s="13">
        <f>L29/(N29+L29+J29+H29+F29)</f>
        <v/>
      </c>
      <c r="N29" s="2" t="n">
        <v>1100</v>
      </c>
      <c r="O29" s="13">
        <f>N29/(N29+L29+J29+H29+F29)</f>
        <v/>
      </c>
    </row>
    <row r="30">
      <c r="A30" s="2" t="inlineStr">
        <is>
          <t>CARA-CARA</t>
        </is>
      </c>
      <c r="B30" s="6" t="n">
        <v>46056</v>
      </c>
      <c r="C30" s="11" t="inlineStr">
        <is>
          <t>9</t>
        </is>
      </c>
      <c r="D30" s="9" t="n">
        <v>2400</v>
      </c>
      <c r="E30" s="9">
        <f>D30/16</f>
        <v/>
      </c>
      <c r="F30" s="9" t="n">
        <v>2468</v>
      </c>
      <c r="G30" s="4" t="n">
        <v>1.0283</v>
      </c>
      <c r="H30" s="9" t="n">
        <v>204</v>
      </c>
      <c r="I30" s="4" t="n">
        <v>0.08500000000000001</v>
      </c>
      <c r="J30" s="9" t="n">
        <v>0</v>
      </c>
      <c r="K30" s="4" t="n">
        <v>0</v>
      </c>
      <c r="L30" s="2" t="n">
        <v>69</v>
      </c>
      <c r="M30" s="13">
        <f>L30/(N30+L30+J30+H30+F30)</f>
        <v/>
      </c>
      <c r="N30" s="2" t="n">
        <v>709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11</t>
        </is>
      </c>
      <c r="D31" s="9" t="n">
        <v>480</v>
      </c>
      <c r="E31" s="9">
        <f>D31/16</f>
        <v/>
      </c>
      <c r="F31" s="9" t="n">
        <v>4162</v>
      </c>
      <c r="G31" s="4" t="n">
        <v>0.7996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104</v>
      </c>
      <c r="M31" s="13">
        <f>L31/(N31+L31+J31+H31+F31)</f>
        <v/>
      </c>
      <c r="N31" s="2" t="n">
        <v>939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11</t>
        </is>
      </c>
      <c r="D32" s="9" t="n">
        <v>32</v>
      </c>
      <c r="E32" s="9">
        <f>D32/16</f>
        <v/>
      </c>
      <c r="F32" s="9" t="n">
        <v>219</v>
      </c>
      <c r="G32" s="4" t="n">
        <v>0.6311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7</v>
      </c>
      <c r="M32" s="13">
        <f>L32/(N32+L32+J32+H32+F32)</f>
        <v/>
      </c>
      <c r="N32" s="2" t="n">
        <v>121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46050</v>
      </c>
      <c r="C33" s="11" t="inlineStr">
        <is>
          <t>2A</t>
        </is>
      </c>
      <c r="D33" s="9" t="n">
        <v>2448</v>
      </c>
      <c r="E33" s="9">
        <f>D33/16</f>
        <v/>
      </c>
      <c r="F33" s="9" t="n">
        <v>19925</v>
      </c>
      <c r="G33" s="4" t="n">
        <v>0.7506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531</v>
      </c>
      <c r="M33" s="13">
        <f>L33/(N33+L33+J33+H33+F33)</f>
        <v/>
      </c>
      <c r="N33" s="2" t="n">
        <v>6090</v>
      </c>
      <c r="O33" s="13">
        <f>N33/(N33+L33+J33+H33+F33)</f>
        <v/>
      </c>
    </row>
    <row r="34">
      <c r="A34" s="2" t="inlineStr">
        <is>
          <t>MURCOTTS</t>
        </is>
      </c>
      <c r="B34" s="6" t="n">
        <v>46051</v>
      </c>
      <c r="C34" s="11" t="inlineStr">
        <is>
          <t>2A</t>
        </is>
      </c>
      <c r="D34" s="9" t="n">
        <v>64</v>
      </c>
      <c r="E34" s="9">
        <f>D34/16</f>
        <v/>
      </c>
      <c r="F34" s="9" t="n">
        <v>439</v>
      </c>
      <c r="G34" s="4" t="n">
        <v>0.6326000000000001</v>
      </c>
      <c r="H34" s="9" t="n">
        <v>0</v>
      </c>
      <c r="I34" s="4" t="n">
        <v>0</v>
      </c>
      <c r="J34" s="9" t="n">
        <v>0</v>
      </c>
      <c r="K34" s="4" t="n">
        <v>0</v>
      </c>
      <c r="L34" s="2" t="n">
        <v>14</v>
      </c>
      <c r="M34" s="13">
        <f>L34/(N34+L34+J34+H34+F34)</f>
        <v/>
      </c>
      <c r="N34" s="2" t="n">
        <v>241</v>
      </c>
      <c r="O34" s="13">
        <f>N34/(N34+L34+J34+H34+F34)</f>
        <v/>
      </c>
    </row>
    <row r="35">
      <c r="A35" s="2" t="inlineStr">
        <is>
          <t>MURCOTTS</t>
        </is>
      </c>
      <c r="B35" s="6" t="n">
        <v>46051</v>
      </c>
      <c r="C35" s="11" t="inlineStr">
        <is>
          <t>2A</t>
        </is>
      </c>
      <c r="D35" s="9" t="n">
        <v>1376</v>
      </c>
      <c r="E35" s="9">
        <f>D35/16</f>
        <v/>
      </c>
      <c r="F35" s="9" t="n">
        <v>11595</v>
      </c>
      <c r="G35" s="4" t="n">
        <v>0.7771</v>
      </c>
      <c r="H35" s="9" t="n">
        <v>0</v>
      </c>
      <c r="I35" s="4" t="n">
        <v>0</v>
      </c>
      <c r="J35" s="9" t="n">
        <v>0</v>
      </c>
      <c r="K35" s="4" t="n">
        <v>0</v>
      </c>
      <c r="L35" s="2" t="n">
        <v>298</v>
      </c>
      <c r="M35" s="13">
        <f>L35/(N35+L35+J35+H35+F35)</f>
        <v/>
      </c>
      <c r="N35" s="2" t="n">
        <v>3028</v>
      </c>
      <c r="O35" s="13">
        <f>N35/(N35+L35+J35+H35+F35)</f>
        <v/>
      </c>
    </row>
    <row r="36">
      <c r="A36" s="2" t="inlineStr">
        <is>
          <t>GRAPEFRUIT</t>
        </is>
      </c>
      <c r="B36" s="6" t="n">
        <v>46141</v>
      </c>
      <c r="C36" s="11" t="inlineStr">
        <is>
          <t>15</t>
        </is>
      </c>
      <c r="D36" s="9">
        <f>E36*16</f>
        <v/>
      </c>
      <c r="E36" s="9" t="n">
        <v>134.5</v>
      </c>
      <c r="F36" s="9" t="n">
        <v>2683</v>
      </c>
      <c r="G36" s="4" t="n">
        <v>0.87508</v>
      </c>
      <c r="H36" s="9" t="n">
        <v>383</v>
      </c>
      <c r="I36" s="4" t="n">
        <v>0.12492</v>
      </c>
      <c r="J36" s="9" t="n">
        <v>0</v>
      </c>
      <c r="K36" s="4" t="n">
        <v>0</v>
      </c>
      <c r="L36" s="2" t="n">
        <v>54</v>
      </c>
      <c r="M36" s="13">
        <f>L36/(N36+L36+J36+H36+F36)</f>
        <v/>
      </c>
      <c r="N36" s="2" t="n">
        <v>0</v>
      </c>
      <c r="O36" s="13">
        <f>N36/(N36+L36+J36+H36+F36)</f>
        <v/>
      </c>
    </row>
    <row r="37">
      <c r="A37" s="2" t="inlineStr">
        <is>
          <t>NAVEL</t>
        </is>
      </c>
      <c r="B37" s="6" t="n">
        <v>46148</v>
      </c>
      <c r="C37" s="11" t="inlineStr">
        <is>
          <t>3</t>
        </is>
      </c>
      <c r="D37" s="9">
        <f>E37*16</f>
        <v/>
      </c>
      <c r="E37" s="9" t="n">
        <v>349.75</v>
      </c>
      <c r="F37" s="9" t="n">
        <v>4082</v>
      </c>
      <c r="G37" s="4" t="n">
        <v>0.6299400000000001</v>
      </c>
      <c r="H37" s="9" t="n">
        <v>2398</v>
      </c>
      <c r="I37" s="4" t="n">
        <v>0.37006</v>
      </c>
      <c r="J37" s="9" t="n">
        <v>0</v>
      </c>
      <c r="K37" s="4" t="n">
        <v>0</v>
      </c>
      <c r="L37" s="2" t="n">
        <v>162</v>
      </c>
      <c r="M37" s="13">
        <f>L37/(N37+L37+J37+H37+F37)</f>
        <v/>
      </c>
      <c r="N37" s="2" t="n">
        <v>1472</v>
      </c>
      <c r="O37" s="13">
        <f>N37/(N37+L37+J37+H37+F37)</f>
        <v/>
      </c>
    </row>
    <row r="38">
      <c r="A38" s="2" t="inlineStr">
        <is>
          <t>VALENCIA</t>
        </is>
      </c>
      <c r="B38" s="6" t="n">
        <v>46177</v>
      </c>
      <c r="C38" s="11" t="inlineStr">
        <is>
          <t>4</t>
        </is>
      </c>
      <c r="D38" s="9">
        <f>E38*16</f>
        <v/>
      </c>
      <c r="E38" s="9" t="n">
        <v>500</v>
      </c>
      <c r="F38" s="9" t="n">
        <v>5170</v>
      </c>
      <c r="G38" s="4" t="n">
        <v>0.4621</v>
      </c>
      <c r="H38" s="9" t="n">
        <v>6018</v>
      </c>
      <c r="I38" s="4" t="n">
        <v>0.5379</v>
      </c>
      <c r="J38" s="9" t="n">
        <v>0</v>
      </c>
      <c r="K38" s="4" t="n">
        <v>0</v>
      </c>
      <c r="L38" s="2" t="n">
        <v>232</v>
      </c>
      <c r="M38" s="13">
        <f>L38/(N38+L38+J38+H38+F38)</f>
        <v/>
      </c>
      <c r="N38" s="2" t="n">
        <v>180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46056</v>
      </c>
      <c r="C39" s="11" t="inlineStr">
        <is>
          <t>9</t>
        </is>
      </c>
      <c r="D39" s="9" t="n">
        <v>2400</v>
      </c>
      <c r="E39" s="9">
        <f>D39/16</f>
        <v/>
      </c>
      <c r="F39" s="9" t="n">
        <v>2468</v>
      </c>
      <c r="G39" s="4" t="n">
        <v>0.7154</v>
      </c>
      <c r="H39" s="9" t="n">
        <v>204</v>
      </c>
      <c r="I39" s="4" t="n">
        <v>0.0591</v>
      </c>
      <c r="J39" s="9" t="n">
        <v>0</v>
      </c>
      <c r="K39" s="4" t="n">
        <v>0</v>
      </c>
      <c r="L39" s="2" t="n">
        <v>69</v>
      </c>
      <c r="M39" s="13">
        <f>L39/(N39+L39+J39+H39+F39)</f>
        <v/>
      </c>
      <c r="N39" s="2" t="n">
        <v>709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46062</v>
      </c>
      <c r="C40" s="11" t="inlineStr">
        <is>
          <t>9</t>
        </is>
      </c>
      <c r="D40" s="9" t="n">
        <v>3696</v>
      </c>
      <c r="E40" s="9">
        <f>D40/16</f>
        <v/>
      </c>
      <c r="F40" s="9" t="n">
        <v>3549</v>
      </c>
      <c r="G40" s="4" t="n">
        <v>0.668</v>
      </c>
      <c r="H40" s="9" t="n">
        <v>370</v>
      </c>
      <c r="I40" s="4" t="n">
        <v>0.0696</v>
      </c>
      <c r="J40" s="9" t="n">
        <v>0</v>
      </c>
      <c r="K40" s="4" t="n">
        <v>0</v>
      </c>
      <c r="L40" s="2" t="n">
        <v>106</v>
      </c>
      <c r="M40" s="13">
        <f>L40/(N40+L40+J40+H40+F40)</f>
        <v/>
      </c>
      <c r="N40" s="2" t="n">
        <v>1288</v>
      </c>
      <c r="O40" s="13">
        <f>N40/(N40+L40+J40+H40+F40)</f>
        <v/>
      </c>
    </row>
    <row r="41">
      <c r="A41" s="2" t="inlineStr">
        <is>
          <t>CARA-CARA</t>
        </is>
      </c>
      <c r="B41" s="6" t="n">
        <v>46130</v>
      </c>
      <c r="C41" s="11" t="inlineStr">
        <is>
          <t>9</t>
        </is>
      </c>
      <c r="D41" s="9" t="n">
        <v>3200</v>
      </c>
      <c r="E41" s="9">
        <f>D41/16</f>
        <v/>
      </c>
      <c r="F41" s="9" t="n">
        <v>2469</v>
      </c>
      <c r="G41" s="4" t="n">
        <v>0.5367</v>
      </c>
      <c r="H41" s="9" t="n">
        <v>638</v>
      </c>
      <c r="I41" s="4" t="n">
        <v>0.1387</v>
      </c>
      <c r="J41" s="9" t="n">
        <v>0</v>
      </c>
      <c r="K41" s="4" t="n">
        <v>0</v>
      </c>
      <c r="L41" s="2" t="n">
        <v>92</v>
      </c>
      <c r="M41" s="13">
        <f>L41/(N41+L41+J41+H41+F41)</f>
        <v/>
      </c>
      <c r="N41" s="2" t="n">
        <v>1401</v>
      </c>
      <c r="O41" s="13">
        <f>N41/(N41+L41+J41+H41+F41)</f>
        <v/>
      </c>
    </row>
    <row r="42">
      <c r="A42" s="2" t="inlineStr">
        <is>
          <t>CARA-CARA</t>
        </is>
      </c>
      <c r="B42" s="6" t="n">
        <v>46134</v>
      </c>
      <c r="C42" s="11" t="inlineStr">
        <is>
          <t>9</t>
        </is>
      </c>
      <c r="D42" s="9" t="n">
        <v>4632</v>
      </c>
      <c r="E42" s="9">
        <f>D42/16</f>
        <v/>
      </c>
      <c r="F42" s="9" t="n">
        <v>3708</v>
      </c>
      <c r="G42" s="4" t="n">
        <v>0.5569</v>
      </c>
      <c r="H42" s="9" t="n">
        <v>489</v>
      </c>
      <c r="I42" s="4" t="n">
        <v>0.07340000000000001</v>
      </c>
      <c r="J42" s="9" t="n">
        <v>0</v>
      </c>
      <c r="K42" s="4" t="n">
        <v>0</v>
      </c>
      <c r="L42" s="2" t="n">
        <v>133</v>
      </c>
      <c r="M42" s="13">
        <f>L42/(N42+L42+J42+H42+F42)</f>
        <v/>
      </c>
      <c r="N42" s="2" t="n">
        <v>2328</v>
      </c>
      <c r="O42" s="13">
        <f>N42/(N42+L42+J42+H42+F42)</f>
        <v/>
      </c>
    </row>
    <row r="43">
      <c r="A43" s="2" t="inlineStr">
        <is>
          <t>VALENCIA</t>
        </is>
      </c>
      <c r="B43" s="6" t="n">
        <v>46240</v>
      </c>
      <c r="C43" s="11" t="inlineStr">
        <is>
          <t>4</t>
        </is>
      </c>
      <c r="D43" s="9">
        <f>E43*16</f>
        <v/>
      </c>
      <c r="E43" s="9" t="n">
        <v>395</v>
      </c>
      <c r="F43" s="9" t="n">
        <v>5087</v>
      </c>
      <c r="G43" s="4" t="n">
        <v>0.61032</v>
      </c>
      <c r="H43" s="9" t="n">
        <v>3248</v>
      </c>
      <c r="I43" s="4" t="n">
        <v>0.38968</v>
      </c>
      <c r="J43" s="9" t="n">
        <v>0</v>
      </c>
      <c r="K43" s="4" t="n">
        <v>0</v>
      </c>
      <c r="L43" s="2" t="n">
        <v>183</v>
      </c>
      <c r="M43" s="13">
        <f>L43/(N43+L43+J43+H43+F43)</f>
        <v/>
      </c>
      <c r="N43" s="2" t="n">
        <v>646</v>
      </c>
      <c r="O43" s="13">
        <f>N43/(N43+L43+J43+H43+F43)</f>
        <v/>
      </c>
    </row>
    <row r="44">
      <c r="A44" s="2" t="inlineStr">
        <is>
          <t>VALENCIA</t>
        </is>
      </c>
      <c r="B44" s="6" t="n">
        <v>46240</v>
      </c>
      <c r="C44" s="11" t="inlineStr">
        <is>
          <t>5</t>
        </is>
      </c>
      <c r="D44" s="9">
        <f>E44*16</f>
        <v/>
      </c>
      <c r="E44" s="9" t="n">
        <v>302</v>
      </c>
      <c r="F44" s="9" t="n">
        <v>3929</v>
      </c>
      <c r="G44" s="4" t="n">
        <v>0.63535</v>
      </c>
      <c r="H44" s="9" t="n">
        <v>2255</v>
      </c>
      <c r="I44" s="4" t="n">
        <v>0.36465</v>
      </c>
      <c r="J44" s="9" t="n">
        <v>0</v>
      </c>
      <c r="K44" s="4" t="n">
        <v>0</v>
      </c>
      <c r="L44" s="2" t="n">
        <v>140</v>
      </c>
      <c r="M44" s="13">
        <f>L44/(N44+L44+J44+H44+F44)</f>
        <v/>
      </c>
      <c r="N44" s="2" t="n">
        <v>682</v>
      </c>
      <c r="O44" s="13">
        <f>N44/(N44+L44+J44+H44+F44)</f>
        <v/>
      </c>
    </row>
    <row r="45">
      <c r="A45" s="2" t="inlineStr">
        <is>
          <t>NAVEL</t>
        </is>
      </c>
      <c r="B45" s="6" t="n">
        <v>45401</v>
      </c>
      <c r="C45" s="11" t="inlineStr">
        <is>
          <t>10</t>
        </is>
      </c>
      <c r="D45" s="9">
        <f>E45*16</f>
        <v/>
      </c>
      <c r="E45" s="9" t="n">
        <v>197</v>
      </c>
      <c r="F45" s="9" t="n">
        <v>2464</v>
      </c>
      <c r="G45" s="4" t="n">
        <v>0.54381</v>
      </c>
      <c r="H45" s="9" t="n">
        <v>941</v>
      </c>
      <c r="I45" s="4" t="n">
        <v>0.20768</v>
      </c>
      <c r="J45" s="9" t="n">
        <v>0</v>
      </c>
      <c r="K45" s="4" t="n">
        <v>0</v>
      </c>
      <c r="L45" s="2" t="n">
        <v>91</v>
      </c>
      <c r="M45" s="13">
        <f>L45/(N45+L45+J45+H45+F45)</f>
        <v/>
      </c>
      <c r="N45" s="2" t="n">
        <v>1035</v>
      </c>
      <c r="O45" s="13">
        <f>N45/(N45+L45+J45+H45+F45)</f>
        <v/>
      </c>
    </row>
    <row r="46">
      <c r="A46" s="2" t="inlineStr">
        <is>
          <t>NAVEL</t>
        </is>
      </c>
      <c r="B46" s="6" t="n">
        <v>45400</v>
      </c>
      <c r="C46" s="11" t="inlineStr">
        <is>
          <t>10</t>
        </is>
      </c>
      <c r="D46" s="9">
        <f>E46*16</f>
        <v/>
      </c>
      <c r="E46" s="9" t="n">
        <v>250</v>
      </c>
      <c r="F46" s="9" t="n">
        <v>3410</v>
      </c>
      <c r="G46" s="4" t="n">
        <v>0.59315</v>
      </c>
      <c r="H46" s="9" t="n">
        <v>1002</v>
      </c>
      <c r="I46" s="4" t="n">
        <v>0.17429</v>
      </c>
      <c r="J46" s="9" t="n">
        <v>0</v>
      </c>
      <c r="K46" s="4" t="n">
        <v>0</v>
      </c>
      <c r="L46" s="2" t="n">
        <v>115</v>
      </c>
      <c r="M46" s="13">
        <f>L46/(N46+L46+J46+H46+F46)</f>
        <v/>
      </c>
      <c r="N46" s="2" t="n">
        <v>1222</v>
      </c>
      <c r="O46" s="13">
        <f>N46/(N46+L46+J46+H46+F46)</f>
        <v/>
      </c>
    </row>
    <row r="47">
      <c r="A47" s="2" t="inlineStr">
        <is>
          <t>MURCOTTS</t>
        </is>
      </c>
      <c r="B47" s="6" t="n">
        <v>45395</v>
      </c>
      <c r="C47" s="11" t="inlineStr">
        <is>
          <t>11</t>
        </is>
      </c>
      <c r="D47" s="9">
        <f>E47*16</f>
        <v/>
      </c>
      <c r="E47" s="9" t="n">
        <v>144</v>
      </c>
      <c r="F47" s="9" t="n">
        <v>10708</v>
      </c>
      <c r="G47" s="4" t="n">
        <v>0.42859</v>
      </c>
      <c r="H47" s="9" t="n">
        <v>0</v>
      </c>
      <c r="I47" s="4" t="n">
        <v>0</v>
      </c>
      <c r="J47" s="9" t="n">
        <v>0</v>
      </c>
      <c r="K47" s="4" t="n">
        <v>0</v>
      </c>
      <c r="L47" s="2" t="n">
        <v>500</v>
      </c>
      <c r="M47" s="13">
        <f>L47/(N47+L47+J47+H47+F47)</f>
        <v/>
      </c>
      <c r="N47" s="2" t="n">
        <v>13776</v>
      </c>
      <c r="O47" s="13">
        <f>N47/(N47+L47+J47+H47+F47)</f>
        <v/>
      </c>
    </row>
    <row r="48">
      <c r="A48" s="2" t="inlineStr">
        <is>
          <t>LEMONS</t>
        </is>
      </c>
      <c r="B48" s="6" t="n">
        <v>45426</v>
      </c>
      <c r="C48" s="11" t="inlineStr">
        <is>
          <t>12</t>
        </is>
      </c>
      <c r="D48" s="9">
        <f>E48*16</f>
        <v/>
      </c>
      <c r="E48" s="9" t="n">
        <v>150</v>
      </c>
      <c r="F48" s="9" t="n">
        <v>1092</v>
      </c>
      <c r="G48" s="4" t="n">
        <v>0.33091</v>
      </c>
      <c r="H48" s="9" t="n">
        <v>874</v>
      </c>
      <c r="I48" s="4" t="n">
        <v>0.26485</v>
      </c>
      <c r="J48" s="9" t="n">
        <v>0</v>
      </c>
      <c r="K48" s="4" t="n">
        <v>0</v>
      </c>
      <c r="L48" s="2" t="n">
        <v>66</v>
      </c>
      <c r="M48" s="13">
        <f>L48/(N48+L48+J48+H48+F48)</f>
        <v/>
      </c>
      <c r="N48" s="2" t="n">
        <v>1268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45265</v>
      </c>
      <c r="C49" s="11" t="inlineStr">
        <is>
          <t>12</t>
        </is>
      </c>
      <c r="D49" s="9">
        <f>E49*16</f>
        <v/>
      </c>
      <c r="E49" s="9" t="n">
        <v>134</v>
      </c>
      <c r="F49" s="9" t="n">
        <v>1544</v>
      </c>
      <c r="G49" s="4" t="n">
        <v>0.52374</v>
      </c>
      <c r="H49" s="9" t="n">
        <v>669</v>
      </c>
      <c r="I49" s="4" t="n">
        <v>0.22693</v>
      </c>
      <c r="J49" s="9" t="n">
        <v>0</v>
      </c>
      <c r="K49" s="4" t="n">
        <v>0</v>
      </c>
      <c r="L49" s="2" t="n">
        <v>59</v>
      </c>
      <c r="M49" s="13">
        <f>L49/(N49+L49+J49+H49+F49)</f>
        <v/>
      </c>
      <c r="N49" s="2" t="n">
        <v>676</v>
      </c>
      <c r="O49" s="13">
        <f>N49/(N49+L49+J49+H49+F49)</f>
        <v/>
      </c>
    </row>
    <row r="50">
      <c r="A50" s="2" t="inlineStr">
        <is>
          <t>LEMONS</t>
        </is>
      </c>
      <c r="B50" s="6" t="n">
        <v>45261</v>
      </c>
      <c r="C50" s="11" t="inlineStr">
        <is>
          <t>12</t>
        </is>
      </c>
      <c r="D50" s="9">
        <f>E50*16</f>
        <v/>
      </c>
      <c r="E50" s="9" t="n">
        <v>100</v>
      </c>
      <c r="F50" s="9" t="n">
        <v>1125</v>
      </c>
      <c r="G50" s="4" t="n">
        <v>0.51136</v>
      </c>
      <c r="H50" s="9" t="n">
        <v>523</v>
      </c>
      <c r="I50" s="4" t="n">
        <v>0.23773</v>
      </c>
      <c r="J50" s="9" t="n">
        <v>0</v>
      </c>
      <c r="K50" s="4" t="n">
        <v>0</v>
      </c>
      <c r="L50" s="2" t="n">
        <v>44</v>
      </c>
      <c r="M50" s="13">
        <f>L50/(N50+L50+J50+H50+F50)</f>
        <v/>
      </c>
      <c r="N50" s="2" t="n">
        <v>508</v>
      </c>
      <c r="O50" s="13">
        <f>N50/(N50+L50+J50+H50+F50)</f>
        <v/>
      </c>
    </row>
    <row r="51">
      <c r="A51" s="2" t="inlineStr">
        <is>
          <t>LEMONS</t>
        </is>
      </c>
      <c r="B51" s="6" t="n">
        <v>45260</v>
      </c>
      <c r="C51" s="11" t="inlineStr">
        <is>
          <t>12</t>
        </is>
      </c>
      <c r="D51" s="9">
        <f>E51*16</f>
        <v/>
      </c>
      <c r="E51" s="9" t="n">
        <v>100</v>
      </c>
      <c r="F51" s="9" t="n">
        <v>1222</v>
      </c>
      <c r="G51" s="4" t="n">
        <v>0.55545</v>
      </c>
      <c r="H51" s="9" t="n">
        <v>464</v>
      </c>
      <c r="I51" s="4" t="n">
        <v>0.21091</v>
      </c>
      <c r="J51" s="9" t="n">
        <v>0</v>
      </c>
      <c r="K51" s="4" t="n">
        <v>0</v>
      </c>
      <c r="L51" s="2" t="n">
        <v>44</v>
      </c>
      <c r="M51" s="13">
        <f>L51/(N51+L51+J51+H51+F51)</f>
        <v/>
      </c>
      <c r="N51" s="2" t="n">
        <v>470</v>
      </c>
      <c r="O51" s="13">
        <f>N51/(N51+L51+J51+H51+F51)</f>
        <v/>
      </c>
    </row>
    <row r="52">
      <c r="A52" s="2" t="inlineStr">
        <is>
          <t>NAVEL</t>
        </is>
      </c>
      <c r="B52" s="6" t="n">
        <v>45289</v>
      </c>
      <c r="C52" s="11" t="inlineStr">
        <is>
          <t>13W</t>
        </is>
      </c>
      <c r="D52" s="9">
        <f>E52*16</f>
        <v/>
      </c>
      <c r="E52" s="9" t="n">
        <v>64</v>
      </c>
      <c r="F52" s="9" t="n">
        <v>708</v>
      </c>
      <c r="G52" s="4" t="n">
        <v>0.48098</v>
      </c>
      <c r="H52" s="9" t="n">
        <v>471</v>
      </c>
      <c r="I52" s="4" t="n">
        <v>0.31997</v>
      </c>
      <c r="J52" s="9" t="n">
        <v>0</v>
      </c>
      <c r="K52" s="4" t="n">
        <v>0</v>
      </c>
      <c r="L52" s="2" t="n">
        <v>29</v>
      </c>
      <c r="M52" s="13">
        <f>L52/(N52+L52+J52+H52+F52)</f>
        <v/>
      </c>
      <c r="N52" s="2" t="n">
        <v>264</v>
      </c>
      <c r="O52" s="13">
        <f>N52/(N52+L52+J52+H52+F52)</f>
        <v/>
      </c>
    </row>
    <row r="53">
      <c r="A53" s="2" t="inlineStr">
        <is>
          <t>LEMONS</t>
        </is>
      </c>
      <c r="B53" s="6" t="n">
        <v>45288</v>
      </c>
      <c r="C53" s="11" t="inlineStr">
        <is>
          <t>16L</t>
        </is>
      </c>
      <c r="D53" s="9">
        <f>E53*16</f>
        <v/>
      </c>
      <c r="E53" s="9" t="n">
        <v>13</v>
      </c>
      <c r="F53" s="9" t="n">
        <v>109</v>
      </c>
      <c r="G53" s="4" t="n">
        <v>0.38112</v>
      </c>
      <c r="H53" s="9" t="n">
        <v>23</v>
      </c>
      <c r="I53" s="4" t="n">
        <v>0.08042000000000001</v>
      </c>
      <c r="J53" s="9" t="n">
        <v>0</v>
      </c>
      <c r="K53" s="4" t="n">
        <v>0</v>
      </c>
      <c r="L53" s="2" t="n">
        <v>6</v>
      </c>
      <c r="M53" s="13">
        <f>L53/(N53+L53+J53+H53+F53)</f>
        <v/>
      </c>
      <c r="N53" s="2" t="n">
        <v>148</v>
      </c>
      <c r="O53" s="13">
        <f>N53/(N53+L53+J53+H53+F53)</f>
        <v/>
      </c>
    </row>
    <row r="54">
      <c r="A54" s="2" t="inlineStr">
        <is>
          <t>LEMONS</t>
        </is>
      </c>
      <c r="B54" s="6" t="n">
        <v>45289</v>
      </c>
      <c r="C54" s="11" t="inlineStr">
        <is>
          <t>16L</t>
        </is>
      </c>
      <c r="D54" s="9">
        <f>E54*16</f>
        <v/>
      </c>
      <c r="E54" s="9" t="n">
        <v>78</v>
      </c>
      <c r="F54" s="9" t="n">
        <v>376</v>
      </c>
      <c r="G54" s="4" t="n">
        <v>0.21911</v>
      </c>
      <c r="H54" s="9" t="n">
        <v>501</v>
      </c>
      <c r="I54" s="4" t="n">
        <v>0.29196</v>
      </c>
      <c r="J54" s="9" t="n">
        <v>0</v>
      </c>
      <c r="K54" s="4" t="n">
        <v>0</v>
      </c>
      <c r="L54" s="2" t="n">
        <v>34</v>
      </c>
      <c r="M54" s="13">
        <f>L54/(N54+L54+J54+H54+F54)</f>
        <v/>
      </c>
      <c r="N54" s="2" t="n">
        <v>805</v>
      </c>
      <c r="O54" s="13">
        <f>N54/(N54+L54+J54+H54+F54)</f>
        <v/>
      </c>
    </row>
    <row r="55">
      <c r="A55" s="2" t="inlineStr">
        <is>
          <t>MURCOTTS</t>
        </is>
      </c>
      <c r="B55" s="6" t="n">
        <v>45352</v>
      </c>
      <c r="C55" s="11" t="inlineStr">
        <is>
          <t>2A</t>
        </is>
      </c>
      <c r="D55" s="9">
        <f>E55*16</f>
        <v/>
      </c>
      <c r="E55" s="9" t="n">
        <v>150</v>
      </c>
      <c r="F55" s="9" t="n">
        <v>20575</v>
      </c>
      <c r="G55" s="4" t="n">
        <v>0.79059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521</v>
      </c>
      <c r="M55" s="13">
        <f>L55/(N55+L55+J55+H55+F55)</f>
        <v/>
      </c>
      <c r="N55" s="2" t="n">
        <v>4929</v>
      </c>
      <c r="O55" s="13">
        <f>N55/(N55+L55+J55+H55+F55)</f>
        <v/>
      </c>
    </row>
    <row r="56">
      <c r="A56" s="2" t="inlineStr">
        <is>
          <t>MURCOTTS</t>
        </is>
      </c>
      <c r="B56" s="6" t="n">
        <v>45372</v>
      </c>
      <c r="C56" s="11" t="inlineStr">
        <is>
          <t>2A</t>
        </is>
      </c>
      <c r="D56" s="9">
        <f>E56*16</f>
        <v/>
      </c>
      <c r="E56" s="9" t="n">
        <v>48</v>
      </c>
      <c r="F56" s="9" t="n">
        <v>5375</v>
      </c>
      <c r="G56" s="4" t="n">
        <v>0.64541</v>
      </c>
      <c r="H56" s="9" t="n">
        <v>0</v>
      </c>
      <c r="I56" s="4" t="n">
        <v>0</v>
      </c>
      <c r="J56" s="9" t="n">
        <v>0</v>
      </c>
      <c r="K56" s="4" t="n">
        <v>0</v>
      </c>
      <c r="L56" s="2" t="n">
        <v>167</v>
      </c>
      <c r="M56" s="13">
        <f>L56/(N56+L56+J56+H56+F56)</f>
        <v/>
      </c>
      <c r="N56" s="2" t="n">
        <v>2786</v>
      </c>
      <c r="O56" s="13">
        <f>N56/(N56+L56+J56+H56+F56)</f>
        <v/>
      </c>
    </row>
    <row r="57">
      <c r="A57" s="2" t="inlineStr">
        <is>
          <t>MURCOTTS</t>
        </is>
      </c>
      <c r="B57" s="6" t="n">
        <v>45430</v>
      </c>
      <c r="C57" s="11" t="inlineStr">
        <is>
          <t>2A</t>
        </is>
      </c>
      <c r="D57" s="9">
        <f>E57*16</f>
        <v/>
      </c>
      <c r="E57" s="9" t="n">
        <v>76</v>
      </c>
      <c r="F57" s="9" t="n">
        <v>6788</v>
      </c>
      <c r="G57" s="4" t="n">
        <v>0.51479</v>
      </c>
      <c r="H57" s="9" t="n">
        <v>0</v>
      </c>
      <c r="I57" s="4" t="n">
        <v>0</v>
      </c>
      <c r="J57" s="9" t="n">
        <v>0</v>
      </c>
      <c r="K57" s="4" t="n">
        <v>0</v>
      </c>
      <c r="L57" s="2" t="n">
        <v>264</v>
      </c>
      <c r="M57" s="13">
        <f>L57/(N57+L57+J57+H57+F57)</f>
        <v/>
      </c>
      <c r="N57" s="2" t="n">
        <v>6134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45489</v>
      </c>
      <c r="C58" s="11" t="inlineStr">
        <is>
          <t>4</t>
        </is>
      </c>
      <c r="D58" s="9">
        <f>E58*16</f>
        <v/>
      </c>
      <c r="E58" s="9" t="n">
        <v>444.75</v>
      </c>
      <c r="F58" s="9" t="n">
        <v>5569</v>
      </c>
      <c r="G58" s="4" t="n">
        <v>0.6214</v>
      </c>
      <c r="H58" s="9" t="n">
        <v>3393</v>
      </c>
      <c r="I58" s="4" t="n">
        <v>0.3786</v>
      </c>
      <c r="J58" s="9" t="n">
        <v>0</v>
      </c>
      <c r="K58" s="4" t="n">
        <v>0</v>
      </c>
      <c r="L58" s="2" t="n">
        <v>364</v>
      </c>
      <c r="M58" s="13">
        <f>L58/(N58+L58+J58+H58+F58)</f>
        <v/>
      </c>
      <c r="N58" s="2" t="n">
        <v>993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5</t>
        </is>
      </c>
      <c r="D59" s="9">
        <f>E59*16</f>
        <v/>
      </c>
      <c r="E59" s="9" t="n">
        <v>174</v>
      </c>
      <c r="F59" s="9" t="n">
        <v>2924</v>
      </c>
      <c r="G59" s="4" t="n">
        <v>0.80219</v>
      </c>
      <c r="H59" s="9" t="n">
        <v>721</v>
      </c>
      <c r="I59" s="4" t="n">
        <v>0.19781</v>
      </c>
      <c r="J59" s="9" t="n">
        <v>0</v>
      </c>
      <c r="K59" s="4" t="n">
        <v>0</v>
      </c>
      <c r="L59" s="2" t="n">
        <v>196</v>
      </c>
      <c r="M59" s="13">
        <f>L59/(N59+L59+J59+H59+F59)</f>
        <v/>
      </c>
      <c r="N59" s="2" t="n">
        <v>196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45488</v>
      </c>
      <c r="C60" s="11" t="inlineStr">
        <is>
          <t>6</t>
        </is>
      </c>
      <c r="D60" s="9">
        <f>E60*16</f>
        <v/>
      </c>
      <c r="E60" s="9" t="n">
        <v>209.5</v>
      </c>
      <c r="F60" s="9" t="n">
        <v>3729</v>
      </c>
      <c r="G60" s="4" t="n">
        <v>0.8183</v>
      </c>
      <c r="H60" s="9" t="n">
        <v>828</v>
      </c>
      <c r="I60" s="4" t="n">
        <v>0.1817</v>
      </c>
      <c r="J60" s="9" t="n">
        <v>0</v>
      </c>
      <c r="K60" s="4" t="n">
        <v>0</v>
      </c>
      <c r="L60" s="2" t="n">
        <v>120</v>
      </c>
      <c r="M60" s="13">
        <f>L60/(N60+L60+J60+H60+F60)</f>
        <v/>
      </c>
      <c r="N60" s="2" t="n">
        <v>184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45440</v>
      </c>
      <c r="C61" s="11" t="inlineStr">
        <is>
          <t>6</t>
        </is>
      </c>
      <c r="D61" s="9">
        <f>E61*16</f>
        <v/>
      </c>
      <c r="E61" s="9" t="n">
        <v>76</v>
      </c>
      <c r="F61" s="9" t="n">
        <v>1369</v>
      </c>
      <c r="G61" s="4" t="n">
        <v>0.83527</v>
      </c>
      <c r="H61" s="9" t="n">
        <v>270</v>
      </c>
      <c r="I61" s="4" t="n">
        <v>0.16473</v>
      </c>
      <c r="J61" s="9" t="n">
        <v>0</v>
      </c>
      <c r="K61" s="4" t="n">
        <v>0</v>
      </c>
      <c r="L61" s="2" t="n">
        <v>62</v>
      </c>
      <c r="M61" s="13">
        <f>L61/(N61+L61+J61+H61+F61)</f>
        <v/>
      </c>
      <c r="N61" s="2" t="n">
        <v>62</v>
      </c>
      <c r="O61" s="13">
        <f>N61/(N61+L61+J61+H61+F61)</f>
        <v/>
      </c>
    </row>
    <row r="62">
      <c r="A62" s="2" t="inlineStr">
        <is>
          <t>VALENCIA</t>
        </is>
      </c>
      <c r="B62" s="6" t="n">
        <v>45474</v>
      </c>
      <c r="C62" s="11" t="inlineStr">
        <is>
          <t>7</t>
        </is>
      </c>
      <c r="D62" s="9">
        <f>E62*16</f>
        <v/>
      </c>
      <c r="E62" s="9" t="n">
        <v>450</v>
      </c>
      <c r="F62" s="9" t="n">
        <v>7168</v>
      </c>
      <c r="G62" s="4" t="n">
        <v>0.6938299999999999</v>
      </c>
      <c r="H62" s="9" t="n">
        <v>3163</v>
      </c>
      <c r="I62" s="4" t="n">
        <v>0.30617</v>
      </c>
      <c r="J62" s="9" t="n">
        <v>0</v>
      </c>
      <c r="K62" s="4" t="n">
        <v>0</v>
      </c>
      <c r="L62" s="2" t="n">
        <v>84</v>
      </c>
      <c r="M62" s="13">
        <f>L62/(N62+L62+J62+H62+F62)</f>
        <v/>
      </c>
      <c r="N62" s="2" t="n">
        <v>167</v>
      </c>
      <c r="O62" s="13">
        <f>N62/(N62+L62+J62+H62+F62)</f>
        <v/>
      </c>
    </row>
    <row r="63">
      <c r="A63" s="2" t="inlineStr">
        <is>
          <t>VALENCIA</t>
        </is>
      </c>
      <c r="B63" s="6" t="n">
        <v>45436</v>
      </c>
      <c r="C63" s="11" t="inlineStr">
        <is>
          <t>7</t>
        </is>
      </c>
      <c r="D63" s="9">
        <f>E63*16</f>
        <v/>
      </c>
      <c r="E63" s="9" t="n">
        <v>200</v>
      </c>
      <c r="F63" s="9" t="n">
        <v>3134</v>
      </c>
      <c r="G63" s="4" t="n">
        <v>0.7151999999999999</v>
      </c>
      <c r="H63" s="9" t="n">
        <v>1248</v>
      </c>
      <c r="I63" s="4" t="n">
        <v>0.2848</v>
      </c>
      <c r="J63" s="9" t="n">
        <v>0</v>
      </c>
      <c r="K63" s="4" t="n">
        <v>0</v>
      </c>
      <c r="L63" s="2" t="n">
        <v>129</v>
      </c>
      <c r="M63" s="13">
        <f>L63/(N63+L63+J63+H63+F63)</f>
        <v/>
      </c>
      <c r="N63" s="2" t="n">
        <v>129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45426</v>
      </c>
      <c r="C64" s="11" t="inlineStr">
        <is>
          <t>9</t>
        </is>
      </c>
      <c r="D64" s="9">
        <f>E64*16</f>
        <v/>
      </c>
      <c r="E64" s="9" t="n">
        <v>56</v>
      </c>
      <c r="F64" s="9" t="n">
        <v>657</v>
      </c>
      <c r="G64" s="4" t="n">
        <v>0.51009</v>
      </c>
      <c r="H64" s="9" t="n">
        <v>66</v>
      </c>
      <c r="I64" s="4" t="n">
        <v>0.05124</v>
      </c>
      <c r="J64" s="9" t="n">
        <v>0</v>
      </c>
      <c r="K64" s="4" t="n">
        <v>0</v>
      </c>
      <c r="L64" s="2" t="n">
        <v>26</v>
      </c>
      <c r="M64" s="13">
        <f>L64/(N64+L64+J64+H64+F64)</f>
        <v/>
      </c>
      <c r="N64" s="2" t="n">
        <v>539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45422</v>
      </c>
      <c r="C65" s="11" t="inlineStr">
        <is>
          <t>9</t>
        </is>
      </c>
      <c r="D65" s="9">
        <f>E65*16</f>
        <v/>
      </c>
      <c r="E65" s="9" t="n">
        <v>199</v>
      </c>
      <c r="F65" s="9" t="n">
        <v>1959</v>
      </c>
      <c r="G65" s="4" t="n">
        <v>0.42801</v>
      </c>
      <c r="H65" s="9" t="n">
        <v>182</v>
      </c>
      <c r="I65" s="4" t="n">
        <v>0.03976</v>
      </c>
      <c r="J65" s="9" t="n">
        <v>0</v>
      </c>
      <c r="K65" s="4" t="n">
        <v>0</v>
      </c>
      <c r="L65" s="2" t="n">
        <v>92</v>
      </c>
      <c r="M65" s="13">
        <f>L65/(N65+L65+J65+H65+F65)</f>
        <v/>
      </c>
      <c r="N65" s="2" t="n">
        <v>2344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45404</v>
      </c>
      <c r="C66" s="11" t="inlineStr">
        <is>
          <t>9</t>
        </is>
      </c>
      <c r="D66" s="9">
        <f>E66*16</f>
        <v/>
      </c>
      <c r="E66" s="9" t="n">
        <v>150</v>
      </c>
      <c r="F66" s="9" t="n">
        <v>1701</v>
      </c>
      <c r="G66" s="4" t="n">
        <v>0.49304</v>
      </c>
      <c r="H66" s="9" t="n">
        <v>162</v>
      </c>
      <c r="I66" s="4" t="n">
        <v>0.04696</v>
      </c>
      <c r="J66" s="9" t="n">
        <v>0</v>
      </c>
      <c r="K66" s="4" t="n">
        <v>0</v>
      </c>
      <c r="L66" s="2" t="n">
        <v>69</v>
      </c>
      <c r="M66" s="13">
        <f>L66/(N66+L66+J66+H66+F66)</f>
        <v/>
      </c>
      <c r="N66" s="2" t="n">
        <v>1518</v>
      </c>
      <c r="O66" s="13">
        <f>N66/(N66+L66+J66+H66+F66)</f>
        <v/>
      </c>
    </row>
    <row r="67">
      <c r="A67" s="2" t="inlineStr">
        <is>
          <t>CARA-CARA</t>
        </is>
      </c>
      <c r="B67" s="6" t="n">
        <v>45293</v>
      </c>
      <c r="C67" s="11" t="inlineStr">
        <is>
          <t>9</t>
        </is>
      </c>
      <c r="D67" s="9">
        <f>E67*16</f>
        <v/>
      </c>
      <c r="E67" s="9" t="n">
        <v>31</v>
      </c>
      <c r="F67" s="9" t="n">
        <v>528</v>
      </c>
      <c r="G67" s="4" t="n">
        <v>0.74053</v>
      </c>
      <c r="H67" s="9" t="n">
        <v>48</v>
      </c>
      <c r="I67" s="4" t="n">
        <v>0.06732</v>
      </c>
      <c r="J67" s="9" t="n">
        <v>0</v>
      </c>
      <c r="K67" s="4" t="n">
        <v>0</v>
      </c>
      <c r="L67" s="2" t="n">
        <v>14</v>
      </c>
      <c r="M67" s="13">
        <f>L67/(N67+L67+J67+H67+F67)</f>
        <v/>
      </c>
      <c r="N67" s="2" t="n">
        <v>123</v>
      </c>
      <c r="O67" s="13">
        <f>N67/(N67+L67+J67+H67+F67)</f>
        <v/>
      </c>
    </row>
    <row r="68">
      <c r="A68" s="2" t="inlineStr">
        <is>
          <t>CARA-CARA</t>
        </is>
      </c>
      <c r="B68" s="6" t="n">
        <v>45289</v>
      </c>
      <c r="C68" s="11" t="inlineStr">
        <is>
          <t>9</t>
        </is>
      </c>
      <c r="D68" s="9">
        <f>E68*16</f>
        <v/>
      </c>
      <c r="E68" s="9" t="n">
        <v>232</v>
      </c>
      <c r="F68" s="9" t="n">
        <v>2770</v>
      </c>
      <c r="G68" s="4" t="n">
        <v>0.51892</v>
      </c>
      <c r="H68" s="9" t="n">
        <v>383</v>
      </c>
      <c r="I68" s="4" t="n">
        <v>0.07174999999999999</v>
      </c>
      <c r="J68" s="9" t="n">
        <v>0</v>
      </c>
      <c r="K68" s="4" t="n">
        <v>0</v>
      </c>
      <c r="L68" s="2" t="n">
        <v>107</v>
      </c>
      <c r="M68" s="13">
        <f>L68/(N68+L68+J68+H68+F68)</f>
        <v/>
      </c>
      <c r="N68" s="2" t="n">
        <v>2078</v>
      </c>
      <c r="O68" s="13">
        <f>N68/(N68+L68+J68+H68+F68)</f>
        <v/>
      </c>
    </row>
    <row r="69">
      <c r="A69" s="2" t="inlineStr">
        <is>
          <t>NAVEL</t>
        </is>
      </c>
      <c r="B69" s="6" t="n">
        <v>45454</v>
      </c>
      <c r="C69" s="11" t="inlineStr">
        <is>
          <t>8</t>
        </is>
      </c>
      <c r="D69" s="9">
        <f>E69*16</f>
        <v/>
      </c>
      <c r="E69" s="9" t="n">
        <v>155</v>
      </c>
      <c r="F69" s="9" t="n">
        <v>941</v>
      </c>
      <c r="G69" s="4" t="n">
        <v>0.26396</v>
      </c>
      <c r="H69" s="9" t="n">
        <v>711</v>
      </c>
      <c r="I69" s="4" t="n">
        <v>0.19944</v>
      </c>
      <c r="J69" s="9" t="n">
        <v>0</v>
      </c>
      <c r="K69" s="4" t="n">
        <v>0</v>
      </c>
      <c r="L69" s="2" t="n">
        <v>71</v>
      </c>
      <c r="M69" s="13">
        <f>L69/(N69+L69+J69+H69+F69)</f>
        <v/>
      </c>
      <c r="N69" s="2" t="n">
        <v>1842</v>
      </c>
      <c r="O69" s="13">
        <f>N69/(N69+L69+J69+H69+F69)</f>
        <v/>
      </c>
    </row>
    <row r="70">
      <c r="A70" s="2" t="inlineStr">
        <is>
          <t>NAVEL</t>
        </is>
      </c>
      <c r="B70" s="6" t="n">
        <v>45457</v>
      </c>
      <c r="C70" s="11" t="inlineStr">
        <is>
          <t>8</t>
        </is>
      </c>
      <c r="D70" s="9">
        <f>E70*16</f>
        <v/>
      </c>
      <c r="E70" s="9" t="n">
        <v>200</v>
      </c>
      <c r="F70" s="9" t="n">
        <v>893</v>
      </c>
      <c r="G70" s="4" t="n">
        <v>0.19413</v>
      </c>
      <c r="H70" s="9" t="n">
        <v>735</v>
      </c>
      <c r="I70" s="4" t="n">
        <v>0.15978</v>
      </c>
      <c r="J70" s="9" t="n">
        <v>0</v>
      </c>
      <c r="K70" s="4" t="n">
        <v>0</v>
      </c>
      <c r="L70" s="2" t="n">
        <v>92</v>
      </c>
      <c r="M70" s="13">
        <f>L70/(N70+L70+J70+H70+F70)</f>
        <v/>
      </c>
      <c r="N70" s="2" t="n">
        <v>2880</v>
      </c>
      <c r="O70" s="13">
        <f>N70/(N70+L70+J70+H70+F70)</f>
        <v/>
      </c>
    </row>
    <row r="71">
      <c r="A71" s="2" t="inlineStr">
        <is>
          <t>NAVEL</t>
        </is>
      </c>
      <c r="B71" s="6" t="n">
        <v>45458</v>
      </c>
      <c r="C71" s="11" t="inlineStr">
        <is>
          <t>8</t>
        </is>
      </c>
      <c r="D71" s="9">
        <f>E71*16</f>
        <v/>
      </c>
      <c r="E71" s="9" t="n">
        <v>216</v>
      </c>
      <c r="F71" s="9" t="n">
        <v>926</v>
      </c>
      <c r="G71" s="4" t="n">
        <v>0.18639</v>
      </c>
      <c r="H71" s="9" t="n">
        <v>762</v>
      </c>
      <c r="I71" s="4" t="n">
        <v>0.15338</v>
      </c>
      <c r="J71" s="9" t="n">
        <v>0</v>
      </c>
      <c r="K71" s="4" t="n">
        <v>0</v>
      </c>
      <c r="L71" s="2" t="n">
        <v>99</v>
      </c>
      <c r="M71" s="13">
        <f>L71/(N71+L71+J71+H71+F71)</f>
        <v/>
      </c>
      <c r="N71" s="2" t="n">
        <v>3181</v>
      </c>
      <c r="O71" s="13">
        <f>N71/(N71+L71+J71+H71+F71)</f>
        <v/>
      </c>
    </row>
    <row r="72">
      <c r="A72" s="2" t="inlineStr">
        <is>
          <t>MURCOTTS</t>
        </is>
      </c>
      <c r="B72" s="6" t="n">
        <v>45464</v>
      </c>
      <c r="C72" s="11" t="inlineStr">
        <is>
          <t>2A</t>
        </is>
      </c>
      <c r="D72" s="9">
        <f>E72*16</f>
        <v/>
      </c>
      <c r="E72" s="9" t="n">
        <v>87.75</v>
      </c>
      <c r="F72" s="9" t="n">
        <v>5002</v>
      </c>
      <c r="G72" s="4" t="n">
        <v>0.32854</v>
      </c>
      <c r="H72" s="9" t="n">
        <v>0</v>
      </c>
      <c r="I72" s="4" t="n">
        <v>0</v>
      </c>
      <c r="J72" s="9" t="n">
        <v>0</v>
      </c>
      <c r="K72" s="4" t="n">
        <v>0</v>
      </c>
      <c r="L72" s="2" t="n">
        <v>304</v>
      </c>
      <c r="M72" s="13">
        <f>L72/(N72+L72+J72+H72+F72)</f>
        <v/>
      </c>
      <c r="N72" s="2" t="n">
        <v>9919</v>
      </c>
      <c r="O72" s="13">
        <f>N72/(N72+L72+J72+H72+F72)</f>
        <v/>
      </c>
    </row>
    <row r="73">
      <c r="A73" s="2" t="inlineStr">
        <is>
          <t>NAVEL</t>
        </is>
      </c>
      <c r="B73" s="6" t="n">
        <v>45412</v>
      </c>
      <c r="C73" s="11" t="inlineStr">
        <is>
          <t>3</t>
        </is>
      </c>
      <c r="D73" s="9">
        <f>E73*16</f>
        <v/>
      </c>
      <c r="E73" s="9" t="n">
        <v>340</v>
      </c>
      <c r="F73" s="9" t="n">
        <v>3422</v>
      </c>
      <c r="G73" s="4" t="n">
        <v>0.61107</v>
      </c>
      <c r="H73" s="9" t="n">
        <v>2178</v>
      </c>
      <c r="I73" s="4" t="n">
        <v>0.38893</v>
      </c>
      <c r="J73" s="9" t="n">
        <v>0</v>
      </c>
      <c r="K73" s="4" t="n">
        <v>0</v>
      </c>
      <c r="L73" s="2" t="n">
        <v>1144</v>
      </c>
      <c r="M73" s="13">
        <f>L73/(N73+L73+J73+H73+F73)</f>
        <v/>
      </c>
      <c r="N73" s="2" t="n">
        <v>1144</v>
      </c>
      <c r="O73" s="13">
        <f>N73/(N73+L73+J73+H73+F73)</f>
        <v/>
      </c>
    </row>
    <row r="74">
      <c r="A74" s="2" t="inlineStr">
        <is>
          <t>NAVEL</t>
        </is>
      </c>
      <c r="B74" s="6" t="n">
        <v>45394</v>
      </c>
      <c r="C74" s="11" t="inlineStr">
        <is>
          <t>3</t>
        </is>
      </c>
      <c r="D74" s="9">
        <f>E74*16</f>
        <v/>
      </c>
      <c r="E74" s="9" t="n">
        <v>131</v>
      </c>
      <c r="F74" s="9" t="n">
        <v>2321</v>
      </c>
      <c r="G74" s="4" t="n">
        <v>0.87983</v>
      </c>
      <c r="H74" s="9" t="n">
        <v>317</v>
      </c>
      <c r="I74" s="4" t="n">
        <v>0.12017</v>
      </c>
      <c r="J74" s="9" t="n">
        <v>0</v>
      </c>
      <c r="K74" s="4" t="n">
        <v>0</v>
      </c>
      <c r="L74" s="2" t="n">
        <v>200</v>
      </c>
      <c r="M74" s="13">
        <f>L74/(N74+L74+J74+H74+F74)</f>
        <v/>
      </c>
      <c r="N74" s="2" t="n">
        <v>201</v>
      </c>
      <c r="O74" s="13">
        <f>N74/(N74+L74+J74+H74+F74)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2026-08-25T23:11:07Z</dcterms:modified>
  <cp:lastModifiedBy>Meagan Slater</cp:lastModifiedBy>
</cp:coreProperties>
</file>