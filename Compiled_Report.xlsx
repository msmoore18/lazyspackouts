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6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>
        <f>E177*16</f>
        <v/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>
        <f>E178*16</f>
        <v/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>
        <f>E179*16</f>
        <v/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>
        <f>E180*16</f>
        <v/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>
        <f>E181*16</f>
        <v/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>
        <f>E182*16</f>
        <v/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>
        <f>E183*16</f>
        <v/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>
        <f>E184*16</f>
        <v/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>
        <f>E185*16</f>
        <v/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>
        <f>E186*16</f>
        <v/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>
        <f>E187*16</f>
        <v/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>
        <f>E188*16</f>
        <v/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>
        <f>E189*16</f>
        <v/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>
        <f>E190*16</f>
        <v/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>
        <f>E191*16</f>
        <v/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>
        <f>E192*16</f>
        <v/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>
        <f>E193*16</f>
        <v/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>
        <f>E194*16</f>
        <v/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>
        <f>E195*16</f>
        <v/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>
        <f>E196*16</f>
        <v/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>
        <f>E197*16</f>
        <v/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>
        <f>E198*16</f>
        <v/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>
        <f>E199*16</f>
        <v/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>
        <f>E200*16</f>
        <v/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>
        <f>E201*16</f>
        <v/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>
        <f>E202*16</f>
        <v/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>
        <f>E203*16</f>
        <v/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>
        <f>E204*16</f>
        <v/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>
        <f>E205*16</f>
        <v/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>
        <f>E206*16</f>
        <v/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>
        <f>E207*16</f>
        <v/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>
        <f>E208*16</f>
        <v/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>
        <f>E209*16</f>
        <v/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>
        <f>E210*16</f>
        <v/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>
        <f>E211*16</f>
        <v/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>
        <f>E212*16</f>
        <v/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>
        <f>E213*16</f>
        <v/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>
        <f>E214*16</f>
        <v/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>
        <f>E215*16</f>
        <v/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>
        <f>E216*16</f>
        <v/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>
        <f>E217*16</f>
        <v/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>
        <f>E218*16</f>
        <v/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>
        <f>E219*16</f>
        <v/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>
        <f>E220*16</f>
        <v/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>
        <f>E221*16</f>
        <v/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>
        <f>E222*16</f>
        <v/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>
        <f>E223*16</f>
        <v/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>
        <f>E224*16</f>
        <v/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>
        <f>E225*16</f>
        <v/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>
        <f>E226*16</f>
        <v/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>
        <f>E227*16</f>
        <v/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>
        <f>E228*16</f>
        <v/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>
        <f>E229*16</f>
        <v/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>
        <f>E230*16</f>
        <v/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>
        <f>E231*16</f>
        <v/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>
        <f>E232*16</f>
        <v/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>
        <f>E233*16</f>
        <v/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>
        <f>E234*16</f>
        <v/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>
        <f>E235*16</f>
        <v/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>
        <f>E236*16</f>
        <v/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>
        <f>E237*16</f>
        <v/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>
        <f>E238*16</f>
        <v/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>
        <f>E239*16</f>
        <v/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>
        <f>E240*16</f>
        <v/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>
        <f>E241*16</f>
        <v/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>
        <f>E242*16</f>
        <v/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>
        <f>E243*16</f>
        <v/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>
        <f>E244*16</f>
        <v/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>
        <f>E245*16</f>
        <v/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>
        <f>E246*16</f>
        <v/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>
        <f>E247*16</f>
        <v/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>
        <f>E248*16</f>
        <v/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>
        <f>E249*16</f>
        <v/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>
        <f>E250*16</f>
        <v/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>
        <f>E251*16</f>
        <v/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>
        <f>E252*16</f>
        <v/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>
        <f>E253*16</f>
        <v/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>
        <f>E254*16</f>
        <v/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>
        <f>E255*16</f>
        <v/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>
        <f>E256*16</f>
        <v/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>
        <f>E257*16</f>
        <v/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>
        <f>E258*16</f>
        <v/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>
        <f>E259*16</f>
        <v/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>
        <f>E260*16</f>
        <v/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>
        <f>E261*16</f>
        <v/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>
        <f>E262*16</f>
        <v/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>
        <f>E263*16</f>
        <v/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>
        <f>E264*16</f>
        <v/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>
        <f>E265*16</f>
        <v/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>
        <f>E266*16</f>
        <v/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>
        <f>E267*16</f>
        <v/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>
        <f>E268*16</f>
        <v/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>
        <f>E269*16</f>
        <v/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>
        <f>E270*16</f>
        <v/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>
        <f>E271*16</f>
        <v/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>
        <f>E272*16</f>
        <v/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>
        <f>E273*16</f>
        <v/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>
        <f>E274*16</f>
        <v/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>
        <f>E275*16</f>
        <v/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>
        <f>E276*16</f>
        <v/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>
        <f>E277*16</f>
        <v/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>
        <f>E278*16</f>
        <v/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>
        <f>E279*16</f>
        <v/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>
        <f>E280*16</f>
        <v/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>
        <f>E281*16</f>
        <v/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>
        <f>E282*16</f>
        <v/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>
        <f>E283*16</f>
        <v/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>
        <f>E284*16</f>
        <v/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>
        <f>E285*16</f>
        <v/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>
        <f>E286*16</f>
        <v/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>
        <f>E287*16</f>
        <v/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>
        <f>E288*16</f>
        <v/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>
        <f>E289*16</f>
        <v/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>
        <f>E290*16</f>
        <v/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>
        <f>E291*16</f>
        <v/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>
        <f>E292*16</f>
        <v/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>
        <f>E293*16</f>
        <v/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>
        <f>E294*16</f>
        <v/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>
        <f>E295*16</f>
        <v/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>
        <f>E296*16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0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  <row r="101">
      <c r="A101" s="2" t="inlineStr">
        <is>
          <t>CLEMENTINES</t>
        </is>
      </c>
      <c r="B101" s="6" t="n">
        <v>44531</v>
      </c>
      <c r="C101" s="11" t="inlineStr">
        <is>
          <t>1</t>
        </is>
      </c>
      <c r="D101" s="9">
        <f>E101*16</f>
        <v/>
      </c>
      <c r="E101" s="9" t="n">
        <v>30</v>
      </c>
      <c r="F101" s="9" t="n">
        <v>4435</v>
      </c>
      <c r="G101" s="4" t="n">
        <v>0.85207</v>
      </c>
      <c r="H101" s="9" t="n">
        <v>0</v>
      </c>
      <c r="I101" s="4" t="n">
        <v>0</v>
      </c>
      <c r="J101" s="9" t="n">
        <v>0</v>
      </c>
      <c r="K101" s="4" t="n">
        <v>0</v>
      </c>
      <c r="L101" s="2" t="n">
        <v>104</v>
      </c>
      <c r="M101" s="13">
        <f>L101/(N101+L101+J101+H101+F101)</f>
        <v/>
      </c>
      <c r="N101" s="2" t="n">
        <v>666</v>
      </c>
      <c r="O101" s="13">
        <f>N101/(N101+L101+J101+H101+F101)</f>
        <v/>
      </c>
    </row>
    <row r="102">
      <c r="A102" s="2" t="inlineStr">
        <is>
          <t>CLEMENTINES</t>
        </is>
      </c>
      <c r="B102" s="6" t="n">
        <v>44530</v>
      </c>
      <c r="C102" s="11" t="inlineStr">
        <is>
          <t>1</t>
        </is>
      </c>
      <c r="D102" s="9">
        <f>E102*16</f>
        <v/>
      </c>
      <c r="E102" s="9" t="n">
        <v>46</v>
      </c>
      <c r="F102" s="9" t="n">
        <v>6239</v>
      </c>
      <c r="G102" s="4" t="n">
        <v>0.78173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160</v>
      </c>
      <c r="M102" s="13">
        <f>L102/(N102+L102+J102+H102+F102)</f>
        <v/>
      </c>
      <c r="N102" s="2" t="n">
        <v>1582</v>
      </c>
      <c r="O102" s="13">
        <f>N102/(N102+L102+J102+H102+F102)</f>
        <v/>
      </c>
    </row>
    <row r="103">
      <c r="A103" s="2" t="inlineStr">
        <is>
          <t>NAVEL</t>
        </is>
      </c>
      <c r="B103" s="6" t="n">
        <v>44694</v>
      </c>
      <c r="C103" s="11" t="inlineStr">
        <is>
          <t>10</t>
        </is>
      </c>
      <c r="D103" s="9">
        <f>E103*16</f>
        <v/>
      </c>
      <c r="E103" s="9" t="n">
        <v>308</v>
      </c>
      <c r="F103" s="9" t="n">
        <v>3165</v>
      </c>
      <c r="G103" s="4" t="n">
        <v>0.44678</v>
      </c>
      <c r="H103" s="9" t="n">
        <v>1645</v>
      </c>
      <c r="I103" s="4" t="n">
        <v>0.23221</v>
      </c>
      <c r="J103" s="9" t="n">
        <v>0</v>
      </c>
      <c r="K103" s="4" t="n">
        <v>0</v>
      </c>
      <c r="L103" s="2" t="n">
        <v>142</v>
      </c>
      <c r="M103" s="13">
        <f>L103/(N103+L103+J103+H103+F103)</f>
        <v/>
      </c>
      <c r="N103" s="2" t="n">
        <v>2132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44608</v>
      </c>
      <c r="C104" s="11" t="inlineStr">
        <is>
          <t>11</t>
        </is>
      </c>
      <c r="D104" s="9">
        <f>E104*16</f>
        <v/>
      </c>
      <c r="E104" s="9" t="n">
        <v>32</v>
      </c>
      <c r="F104" s="9" t="n">
        <v>4390</v>
      </c>
      <c r="G104" s="4" t="n">
        <v>0.79071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111</v>
      </c>
      <c r="M104" s="13">
        <f>L104/(N104+L104+J104+H104+F104)</f>
        <v/>
      </c>
      <c r="N104" s="2" t="n">
        <v>1051</v>
      </c>
      <c r="O104" s="13">
        <f>N104/(N104+L104+J104+H104+F104)</f>
        <v/>
      </c>
    </row>
    <row r="105">
      <c r="A105" s="2" t="inlineStr">
        <is>
          <t>MURCOTTS</t>
        </is>
      </c>
      <c r="B105" s="6" t="n">
        <v>44607</v>
      </c>
      <c r="C105" s="11" t="inlineStr">
        <is>
          <t>11</t>
        </is>
      </c>
      <c r="D105" s="9">
        <f>E105*16</f>
        <v/>
      </c>
      <c r="E105" s="9" t="n">
        <v>30</v>
      </c>
      <c r="F105" s="9" t="n">
        <v>4174</v>
      </c>
      <c r="G105" s="4" t="n">
        <v>0.80192</v>
      </c>
      <c r="H105" s="9" t="n">
        <v>0</v>
      </c>
      <c r="I105" s="4" t="n">
        <v>0</v>
      </c>
      <c r="J105" s="9" t="n">
        <v>0</v>
      </c>
      <c r="K105" s="4" t="n">
        <v>0</v>
      </c>
      <c r="L105" s="2" t="n">
        <v>104</v>
      </c>
      <c r="M105" s="13">
        <f>L105/(N105+L105+J105+H105+F105)</f>
        <v/>
      </c>
      <c r="N105" s="2" t="n">
        <v>927</v>
      </c>
      <c r="O105" s="13">
        <f>N105/(N105+L105+J105+H105+F105)</f>
        <v/>
      </c>
    </row>
    <row r="106">
      <c r="A106" s="2" t="inlineStr">
        <is>
          <t>MURCOTTS</t>
        </is>
      </c>
      <c r="B106" s="6" t="n">
        <v>44606</v>
      </c>
      <c r="C106" s="11" t="inlineStr">
        <is>
          <t>11</t>
        </is>
      </c>
      <c r="D106" s="9">
        <f>E106*16</f>
        <v/>
      </c>
      <c r="E106" s="9" t="n">
        <v>72</v>
      </c>
      <c r="F106" s="9" t="n">
        <v>9954</v>
      </c>
      <c r="G106" s="4" t="n">
        <v>0.79683</v>
      </c>
      <c r="H106" s="9" t="n">
        <v>0</v>
      </c>
      <c r="I106" s="4" t="n">
        <v>0</v>
      </c>
      <c r="J106" s="9" t="n">
        <v>0</v>
      </c>
      <c r="K106" s="4" t="n">
        <v>0</v>
      </c>
      <c r="L106" s="2" t="n">
        <v>250</v>
      </c>
      <c r="M106" s="13">
        <f>L106/(N106+L106+J106+H106+F106)</f>
        <v/>
      </c>
      <c r="N106" s="2" t="n">
        <v>2288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44735</v>
      </c>
      <c r="C107" s="11" t="inlineStr">
        <is>
          <t>12</t>
        </is>
      </c>
      <c r="D107" s="9">
        <f>E107*16</f>
        <v/>
      </c>
      <c r="E107" s="9" t="n">
        <v>17.5</v>
      </c>
      <c r="F107" s="9" t="n">
        <v>179</v>
      </c>
      <c r="G107" s="4" t="n">
        <v>0.46494</v>
      </c>
      <c r="H107" s="9" t="n">
        <v>73</v>
      </c>
      <c r="I107" s="4" t="n">
        <v>0.18961</v>
      </c>
      <c r="J107" s="9" t="n">
        <v>0</v>
      </c>
      <c r="K107" s="4" t="n">
        <v>0</v>
      </c>
      <c r="L107" s="2" t="n">
        <v>8</v>
      </c>
      <c r="M107" s="13">
        <f>L107/(N107+L107+J107+H107+F107)</f>
        <v/>
      </c>
      <c r="N107" s="2" t="n">
        <v>125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44713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1620</v>
      </c>
      <c r="G108" s="4" t="n">
        <v>0.49091</v>
      </c>
      <c r="H108" s="9" t="n">
        <v>287</v>
      </c>
      <c r="I108" s="4" t="n">
        <v>0.08697000000000001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1327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44712</v>
      </c>
      <c r="C109" s="11" t="inlineStr">
        <is>
          <t>12</t>
        </is>
      </c>
      <c r="D109" s="9">
        <f>E109*16</f>
        <v/>
      </c>
      <c r="E109" s="9" t="n">
        <v>150</v>
      </c>
      <c r="F109" s="9" t="n">
        <v>1405</v>
      </c>
      <c r="G109" s="4" t="n">
        <v>0.42576</v>
      </c>
      <c r="H109" s="9" t="n">
        <v>301</v>
      </c>
      <c r="I109" s="4" t="n">
        <v>0.09121</v>
      </c>
      <c r="J109" s="9" t="n">
        <v>0</v>
      </c>
      <c r="K109" s="4" t="n">
        <v>0</v>
      </c>
      <c r="L109" s="2" t="n">
        <v>66</v>
      </c>
      <c r="M109" s="13">
        <f>L109/(N109+L109+J109+H109+F109)</f>
        <v/>
      </c>
      <c r="N109" s="2" t="n">
        <v>1528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44709</v>
      </c>
      <c r="C110" s="11" t="inlineStr">
        <is>
          <t>12</t>
        </is>
      </c>
      <c r="D110" s="9">
        <f>E110*16</f>
        <v/>
      </c>
      <c r="E110" s="9" t="n">
        <v>150</v>
      </c>
      <c r="F110" s="9" t="n">
        <v>1569</v>
      </c>
      <c r="G110" s="4" t="n">
        <v>0.47545</v>
      </c>
      <c r="H110" s="9" t="n">
        <v>285</v>
      </c>
      <c r="I110" s="4" t="n">
        <v>0.08636000000000001</v>
      </c>
      <c r="J110" s="9" t="n">
        <v>0</v>
      </c>
      <c r="K110" s="4" t="n">
        <v>0</v>
      </c>
      <c r="L110" s="2" t="n">
        <v>66</v>
      </c>
      <c r="M110" s="13">
        <f>L110/(N110+L110+J110+H110+F110)</f>
        <v/>
      </c>
      <c r="N110" s="2" t="n">
        <v>1380</v>
      </c>
      <c r="O110" s="13">
        <f>N110/(N110+L110+J110+H110+F110)</f>
        <v/>
      </c>
    </row>
    <row r="111">
      <c r="A111" s="2" t="inlineStr">
        <is>
          <t>LEMONS</t>
        </is>
      </c>
      <c r="B111" s="6" t="n">
        <v>44533</v>
      </c>
      <c r="C111" s="11" t="inlineStr">
        <is>
          <t>12</t>
        </is>
      </c>
      <c r="D111" s="9">
        <f>E111*16</f>
        <v/>
      </c>
      <c r="E111" s="9" t="n">
        <v>275</v>
      </c>
      <c r="F111" s="9" t="n">
        <v>4450</v>
      </c>
      <c r="G111" s="4" t="n">
        <v>0.73554</v>
      </c>
      <c r="H111" s="9" t="n">
        <v>1128</v>
      </c>
      <c r="I111" s="4" t="n">
        <v>0.18645</v>
      </c>
      <c r="J111" s="9" t="n">
        <v>0</v>
      </c>
      <c r="K111" s="4" t="n">
        <v>0</v>
      </c>
      <c r="L111" s="2" t="n">
        <v>121</v>
      </c>
      <c r="M111" s="13">
        <f>L111/(N111+L111+J111+H111+F111)</f>
        <v/>
      </c>
      <c r="N111" s="2" t="n">
        <v>351</v>
      </c>
      <c r="O111" s="13">
        <f>N111/(N111+L111+J111+H111+F111)</f>
        <v/>
      </c>
    </row>
    <row r="112">
      <c r="A112" s="2" t="inlineStr">
        <is>
          <t>LEMONS</t>
        </is>
      </c>
      <c r="B112" s="6" t="n">
        <v>44532</v>
      </c>
      <c r="C112" s="11" t="inlineStr">
        <is>
          <t>12</t>
        </is>
      </c>
      <c r="D112" s="9">
        <f>E112*16</f>
        <v/>
      </c>
      <c r="E112" s="9" t="n">
        <v>100</v>
      </c>
      <c r="F112" s="9" t="n">
        <v>1603</v>
      </c>
      <c r="G112" s="4" t="n">
        <v>0.72864</v>
      </c>
      <c r="H112" s="9" t="n">
        <v>356</v>
      </c>
      <c r="I112" s="4" t="n">
        <v>0.16182</v>
      </c>
      <c r="J112" s="9" t="n">
        <v>0</v>
      </c>
      <c r="K112" s="4" t="n">
        <v>0</v>
      </c>
      <c r="L112" s="2" t="n">
        <v>44</v>
      </c>
      <c r="M112" s="13">
        <f>L112/(N112+L112+J112+H112+F112)</f>
        <v/>
      </c>
      <c r="N112" s="2" t="n">
        <v>197</v>
      </c>
      <c r="O112" s="13">
        <f>N112/(N112+L112+J112+H112+F112)</f>
        <v/>
      </c>
    </row>
    <row r="113">
      <c r="A113" s="2" t="inlineStr">
        <is>
          <t>NAVEL</t>
        </is>
      </c>
      <c r="B113" s="6" t="n">
        <v>44572</v>
      </c>
      <c r="C113" s="11" t="inlineStr">
        <is>
          <t>13W</t>
        </is>
      </c>
      <c r="D113" s="9">
        <f>E113*16</f>
        <v/>
      </c>
      <c r="E113" s="9" t="n">
        <v>22</v>
      </c>
      <c r="F113" s="9" t="n">
        <v>183</v>
      </c>
      <c r="G113" s="4" t="n">
        <v>0.36166</v>
      </c>
      <c r="H113" s="9" t="n">
        <v>167</v>
      </c>
      <c r="I113" s="4" t="n">
        <v>0.33004</v>
      </c>
      <c r="J113" s="9" t="n">
        <v>0</v>
      </c>
      <c r="K113" s="4" t="n">
        <v>0</v>
      </c>
      <c r="L113" s="2" t="n">
        <v>10</v>
      </c>
      <c r="M113" s="13">
        <f>L113/(N113+L113+J113+H113+F113)</f>
        <v/>
      </c>
      <c r="N113" s="2" t="n">
        <v>146</v>
      </c>
      <c r="O113" s="13">
        <f>N113/(N113+L113+J113+H113+F113)</f>
        <v/>
      </c>
    </row>
    <row r="114">
      <c r="A114" s="2" t="inlineStr">
        <is>
          <t>MURCOTTS</t>
        </is>
      </c>
      <c r="B114" s="6" t="n">
        <v>44607</v>
      </c>
      <c r="C114" s="11" t="inlineStr">
        <is>
          <t>2A</t>
        </is>
      </c>
      <c r="D114" s="9">
        <f>E114*16</f>
        <v/>
      </c>
      <c r="E114" s="9" t="n">
        <v>26</v>
      </c>
      <c r="F114" s="9" t="n">
        <v>3616</v>
      </c>
      <c r="G114" s="4" t="n">
        <v>0.8016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90</v>
      </c>
      <c r="M114" s="13">
        <f>L114/(N114+L114+J114+H114+F114)</f>
        <v/>
      </c>
      <c r="N114" s="2" t="n">
        <v>805</v>
      </c>
      <c r="O114" s="13">
        <f>N114/(N114+L114+J114+H114+F114)</f>
        <v/>
      </c>
    </row>
    <row r="115">
      <c r="A115" s="2" t="inlineStr">
        <is>
          <t>MURCOTTS</t>
        </is>
      </c>
      <c r="B115" s="6" t="n">
        <v>44606</v>
      </c>
      <c r="C115" s="11" t="inlineStr">
        <is>
          <t>2A</t>
        </is>
      </c>
      <c r="D115" s="9">
        <f>E115*16</f>
        <v/>
      </c>
      <c r="E115" s="9" t="n">
        <v>72</v>
      </c>
      <c r="F115" s="9" t="n">
        <v>9954</v>
      </c>
      <c r="G115" s="4" t="n">
        <v>0.79683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250</v>
      </c>
      <c r="M115" s="13">
        <f>L115/(N115+L115+J115+H115+F115)</f>
        <v/>
      </c>
      <c r="N115" s="2" t="n">
        <v>2288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44552</v>
      </c>
      <c r="C116" s="11" t="inlineStr">
        <is>
          <t>2B</t>
        </is>
      </c>
      <c r="D116" s="9">
        <f>E116*16</f>
        <v/>
      </c>
      <c r="E116" s="9" t="n">
        <v>29</v>
      </c>
      <c r="F116" s="9" t="n">
        <v>2932</v>
      </c>
      <c r="G116" s="4" t="n">
        <v>0.58279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101</v>
      </c>
      <c r="M116" s="13">
        <f>L116/(N116+L116+J116+H116+F116)</f>
        <v/>
      </c>
      <c r="N116" s="2" t="n">
        <v>1998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44551</v>
      </c>
      <c r="C117" s="11" t="inlineStr">
        <is>
          <t>2B</t>
        </is>
      </c>
      <c r="D117" s="9">
        <f>E117*16</f>
        <v/>
      </c>
      <c r="E117" s="9" t="n">
        <v>48</v>
      </c>
      <c r="F117" s="9" t="n">
        <v>5307</v>
      </c>
      <c r="G117" s="4" t="n">
        <v>0.63725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167</v>
      </c>
      <c r="M117" s="13">
        <f>L117/(N117+L117+J117+H117+F117)</f>
        <v/>
      </c>
      <c r="N117" s="2" t="n">
        <v>2854</v>
      </c>
      <c r="O117" s="13">
        <f>N117/(N117+L117+J117+H117+F117)</f>
        <v/>
      </c>
    </row>
    <row r="118">
      <c r="A118" s="2" t="inlineStr">
        <is>
          <t>CLEMENTINES</t>
        </is>
      </c>
      <c r="B118" s="6" t="n">
        <v>44539</v>
      </c>
      <c r="C118" s="11" t="inlineStr">
        <is>
          <t>2B</t>
        </is>
      </c>
      <c r="D118" s="9">
        <f>E118*16</f>
        <v/>
      </c>
      <c r="E118" s="9" t="n">
        <v>50</v>
      </c>
      <c r="F118" s="9" t="n">
        <v>6795</v>
      </c>
      <c r="G118" s="4" t="n">
        <v>0.78329</v>
      </c>
      <c r="H118" s="9" t="n">
        <v>0</v>
      </c>
      <c r="I118" s="4" t="n">
        <v>0</v>
      </c>
      <c r="J118" s="9" t="n">
        <v>0</v>
      </c>
      <c r="K118" s="4" t="n">
        <v>0</v>
      </c>
      <c r="L118" s="2" t="n">
        <v>174</v>
      </c>
      <c r="M118" s="13">
        <f>L118/(N118+L118+J118+H118+F118)</f>
        <v/>
      </c>
      <c r="N118" s="2" t="n">
        <v>1706</v>
      </c>
      <c r="O118" s="13">
        <f>N118/(N118+L118+J118+H118+F118)</f>
        <v/>
      </c>
    </row>
    <row r="119">
      <c r="A119" s="2" t="inlineStr">
        <is>
          <t>CLEMENTINES</t>
        </is>
      </c>
      <c r="B119" s="6" t="n">
        <v>44531</v>
      </c>
      <c r="C119" s="11" t="inlineStr">
        <is>
          <t>2B</t>
        </is>
      </c>
      <c r="D119" s="9">
        <f>E119*16</f>
        <v/>
      </c>
      <c r="E119" s="9" t="n">
        <v>8</v>
      </c>
      <c r="F119" s="9" t="n">
        <v>1183</v>
      </c>
      <c r="G119" s="4" t="n">
        <v>0.85231</v>
      </c>
      <c r="H119" s="9" t="n">
        <v>0</v>
      </c>
      <c r="I119" s="4" t="n">
        <v>0</v>
      </c>
      <c r="J119" s="9" t="n">
        <v>0</v>
      </c>
      <c r="K119" s="4" t="n">
        <v>0</v>
      </c>
      <c r="L119" s="2" t="n">
        <v>28</v>
      </c>
      <c r="M119" s="13">
        <f>L119/(N119+L119+J119+H119+F119)</f>
        <v/>
      </c>
      <c r="N119" s="2" t="n">
        <v>177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44708</v>
      </c>
      <c r="C120" s="11" t="inlineStr">
        <is>
          <t>8</t>
        </is>
      </c>
      <c r="D120" s="9">
        <f>E120*16</f>
        <v/>
      </c>
      <c r="E120" s="9" t="n">
        <v>50</v>
      </c>
      <c r="F120" s="9" t="n">
        <v>621</v>
      </c>
      <c r="G120" s="4" t="n">
        <v>0.54</v>
      </c>
      <c r="H120" s="9" t="n">
        <v>351</v>
      </c>
      <c r="I120" s="4" t="n">
        <v>0.30522</v>
      </c>
      <c r="J120" s="9" t="n">
        <v>0</v>
      </c>
      <c r="K120" s="4" t="n">
        <v>0</v>
      </c>
      <c r="L120" s="2" t="n">
        <v>23</v>
      </c>
      <c r="M120" s="13">
        <f>L120/(N120+L120+J120+H120+F120)</f>
        <v/>
      </c>
      <c r="N120" s="2" t="n">
        <v>155</v>
      </c>
      <c r="O120" s="13">
        <f>N120/(N120+L120+J120+H120+F120)</f>
        <v/>
      </c>
    </row>
    <row r="121">
      <c r="A121" s="2" t="inlineStr">
        <is>
          <t>NAVEL</t>
        </is>
      </c>
      <c r="B121" s="6" t="n">
        <v>44712</v>
      </c>
      <c r="C121" s="11" t="inlineStr">
        <is>
          <t>8</t>
        </is>
      </c>
      <c r="D121" s="9">
        <f>E121*16</f>
        <v/>
      </c>
      <c r="E121" s="9" t="n">
        <v>88</v>
      </c>
      <c r="F121" s="9" t="n">
        <v>1147</v>
      </c>
      <c r="G121" s="4" t="n">
        <v>0.5667</v>
      </c>
      <c r="H121" s="9" t="n">
        <v>426</v>
      </c>
      <c r="I121" s="4" t="n">
        <v>0.21047</v>
      </c>
      <c r="J121" s="9" t="n">
        <v>0</v>
      </c>
      <c r="K121" s="4" t="n">
        <v>0</v>
      </c>
      <c r="L121" s="2" t="n">
        <v>40</v>
      </c>
      <c r="M121" s="13">
        <f>L121/(N121+L121+J121+H121+F121)</f>
        <v/>
      </c>
      <c r="N121" s="2" t="n">
        <v>411</v>
      </c>
      <c r="O121" s="13">
        <f>N121/(N121+L121+J121+H121+F121)</f>
        <v/>
      </c>
    </row>
    <row r="122">
      <c r="A122" s="2" t="inlineStr">
        <is>
          <t>NAVEL</t>
        </is>
      </c>
      <c r="B122" s="6" t="n">
        <v>44679</v>
      </c>
      <c r="C122" s="11" t="inlineStr">
        <is>
          <t>8</t>
        </is>
      </c>
      <c r="D122" s="9">
        <f>E122*16</f>
        <v/>
      </c>
      <c r="E122" s="9" t="n">
        <v>350</v>
      </c>
      <c r="F122" s="9" t="n">
        <v>5020</v>
      </c>
      <c r="G122" s="4" t="n">
        <v>0.6236</v>
      </c>
      <c r="H122" s="9" t="n">
        <v>2116</v>
      </c>
      <c r="I122" s="4" t="n">
        <v>0.26286</v>
      </c>
      <c r="J122" s="9" t="n">
        <v>0</v>
      </c>
      <c r="K122" s="4" t="n">
        <v>0</v>
      </c>
      <c r="L122" s="2" t="n">
        <v>161</v>
      </c>
      <c r="M122" s="13">
        <f>L122/(N122+L122+J122+H122+F122)</f>
        <v/>
      </c>
      <c r="N122" s="2" t="n">
        <v>753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44630</v>
      </c>
      <c r="C123" s="11" t="inlineStr">
        <is>
          <t>9</t>
        </is>
      </c>
      <c r="D123" s="9">
        <f>E123*16</f>
        <v/>
      </c>
      <c r="E123" s="9" t="n">
        <v>116</v>
      </c>
      <c r="F123" s="9" t="n">
        <v>1891</v>
      </c>
      <c r="G123" s="4" t="n">
        <v>0.70877</v>
      </c>
      <c r="H123" s="9" t="n">
        <v>420</v>
      </c>
      <c r="I123" s="4" t="n">
        <v>0.15742</v>
      </c>
      <c r="J123" s="9" t="n">
        <v>0</v>
      </c>
      <c r="K123" s="4" t="n">
        <v>0</v>
      </c>
      <c r="L123" s="2" t="n">
        <v>53</v>
      </c>
      <c r="M123" s="13">
        <f>L123/(N123+L123+J123+H123+F123)</f>
        <v/>
      </c>
      <c r="N123" s="2" t="n">
        <v>304</v>
      </c>
      <c r="O123" s="13">
        <f>N123/(N123+L123+J123+H123+F123)</f>
        <v/>
      </c>
    </row>
    <row r="124">
      <c r="A124" s="2" t="inlineStr">
        <is>
          <t>CARA-CARA</t>
        </is>
      </c>
      <c r="B124" s="6" t="n">
        <v>44628</v>
      </c>
      <c r="C124" s="11" t="inlineStr">
        <is>
          <t>9</t>
        </is>
      </c>
      <c r="D124" s="9">
        <f>E124*16</f>
        <v/>
      </c>
      <c r="E124" s="9" t="n">
        <v>154</v>
      </c>
      <c r="F124" s="9" t="n">
        <v>2620</v>
      </c>
      <c r="G124" s="4" t="n">
        <v>0.7397</v>
      </c>
      <c r="H124" s="9" t="n">
        <v>575</v>
      </c>
      <c r="I124" s="4" t="n">
        <v>0.16234</v>
      </c>
      <c r="J124" s="9" t="n">
        <v>0</v>
      </c>
      <c r="K124" s="4" t="n">
        <v>0</v>
      </c>
      <c r="L124" s="2" t="n">
        <v>71</v>
      </c>
      <c r="M124" s="13">
        <f>L124/(N124+L124+J124+H124+F124)</f>
        <v/>
      </c>
      <c r="N124" s="2" t="n">
        <v>276</v>
      </c>
      <c r="O124" s="13">
        <f>N124/(N124+L124+J124+H124+F124)</f>
        <v/>
      </c>
    </row>
    <row r="125">
      <c r="A125" s="2" t="inlineStr">
        <is>
          <t>CARA-CARA</t>
        </is>
      </c>
      <c r="B125" s="6" t="n">
        <v>44571</v>
      </c>
      <c r="C125" s="11" t="inlineStr">
        <is>
          <t>9</t>
        </is>
      </c>
      <c r="D125" s="9">
        <f>E125*16</f>
        <v/>
      </c>
      <c r="E125" s="9" t="n">
        <v>199</v>
      </c>
      <c r="F125" s="9" t="n">
        <v>3316</v>
      </c>
      <c r="G125" s="4" t="n">
        <v>0.72449</v>
      </c>
      <c r="H125" s="9" t="n">
        <v>641</v>
      </c>
      <c r="I125" s="4" t="n">
        <v>0.14005</v>
      </c>
      <c r="J125" s="9" t="n">
        <v>0</v>
      </c>
      <c r="K125" s="4" t="n">
        <v>0</v>
      </c>
      <c r="L125" s="2" t="n">
        <v>92</v>
      </c>
      <c r="M125" s="13">
        <f>L125/(N125+L125+J125+H125+F125)</f>
        <v/>
      </c>
      <c r="N125" s="2" t="n">
        <v>528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44327</v>
      </c>
      <c r="C126" s="11" t="inlineStr">
        <is>
          <t>10</t>
        </is>
      </c>
      <c r="D126" s="9">
        <f>E126*16</f>
        <v/>
      </c>
      <c r="E126" s="9" t="n">
        <v>48</v>
      </c>
      <c r="F126" s="9" t="n">
        <v>715</v>
      </c>
      <c r="G126" s="4" t="n">
        <v>0.64764</v>
      </c>
      <c r="H126" s="9" t="n">
        <v>132</v>
      </c>
      <c r="I126" s="4" t="n">
        <v>0.11957</v>
      </c>
      <c r="J126" s="9" t="n">
        <v>0</v>
      </c>
      <c r="K126" s="4" t="n">
        <v>0</v>
      </c>
      <c r="L126" s="2" t="n">
        <v>22</v>
      </c>
      <c r="M126" s="13">
        <f>L126/(N126+L126+J126+H126+F126)</f>
        <v/>
      </c>
      <c r="N126" s="2" t="n">
        <v>235</v>
      </c>
      <c r="O126" s="13">
        <f>N126/(N126+L126+J126+H126+F126)</f>
        <v/>
      </c>
    </row>
    <row r="127">
      <c r="A127" s="2" t="inlineStr">
        <is>
          <t>NAVEL</t>
        </is>
      </c>
      <c r="B127" s="6" t="n">
        <v>44326</v>
      </c>
      <c r="C127" s="11" t="inlineStr">
        <is>
          <t>10</t>
        </is>
      </c>
      <c r="D127" s="9">
        <f>E127*16</f>
        <v/>
      </c>
      <c r="E127" s="9" t="n">
        <v>246</v>
      </c>
      <c r="F127" s="9" t="n">
        <v>4054</v>
      </c>
      <c r="G127" s="4" t="n">
        <v>0.71651</v>
      </c>
      <c r="H127" s="9" t="n">
        <v>871</v>
      </c>
      <c r="I127" s="4" t="n">
        <v>0.15394</v>
      </c>
      <c r="J127" s="9" t="n">
        <v>0</v>
      </c>
      <c r="K127" s="4" t="n">
        <v>0</v>
      </c>
      <c r="L127" s="2" t="n">
        <v>113</v>
      </c>
      <c r="M127" s="13">
        <f>L127/(N127+L127+J127+H127+F127)</f>
        <v/>
      </c>
      <c r="N127" s="2" t="n">
        <v>620</v>
      </c>
      <c r="O127" s="13">
        <f>N127/(N127+L127+J127+H127+F127)</f>
        <v/>
      </c>
    </row>
    <row r="128">
      <c r="A128" s="2" t="inlineStr">
        <is>
          <t>NAVEL</t>
        </is>
      </c>
      <c r="B128" s="6" t="n">
        <v>44326</v>
      </c>
      <c r="C128" s="11" t="inlineStr">
        <is>
          <t>10</t>
        </is>
      </c>
      <c r="D128" s="9">
        <f>E128*16</f>
        <v/>
      </c>
      <c r="E128" s="9" t="n">
        <v>250</v>
      </c>
      <c r="F128" s="9" t="n">
        <v>3642</v>
      </c>
      <c r="G128" s="4" t="n">
        <v>0.63339</v>
      </c>
      <c r="H128" s="9" t="n">
        <v>786</v>
      </c>
      <c r="I128" s="4" t="n">
        <v>0.1367</v>
      </c>
      <c r="J128" s="9" t="n">
        <v>0</v>
      </c>
      <c r="K128" s="4" t="n">
        <v>0</v>
      </c>
      <c r="L128" s="2" t="n">
        <v>115</v>
      </c>
      <c r="M128" s="13">
        <f>L128/(N128+L128+J128+H128+F128)</f>
        <v/>
      </c>
      <c r="N128" s="2" t="n">
        <v>1207</v>
      </c>
      <c r="O128" s="13">
        <f>N128/(N128+L128+J128+H128+F128)</f>
        <v/>
      </c>
    </row>
    <row r="129">
      <c r="A129" s="2" t="inlineStr">
        <is>
          <t>MURCOTTS</t>
        </is>
      </c>
      <c r="B129" s="6" t="n">
        <v>44258</v>
      </c>
      <c r="C129" s="11" t="inlineStr">
        <is>
          <t>11</t>
        </is>
      </c>
      <c r="D129" s="9">
        <f>E129*16</f>
        <v/>
      </c>
      <c r="E129" s="9" t="n">
        <v>39</v>
      </c>
      <c r="F129" s="9" t="n">
        <v>4722</v>
      </c>
      <c r="G129" s="4" t="n">
        <v>0.6979</v>
      </c>
      <c r="H129" s="9" t="n">
        <v>0</v>
      </c>
      <c r="I129" s="4" t="n">
        <v>0</v>
      </c>
      <c r="J129" s="9" t="n">
        <v>0</v>
      </c>
      <c r="K129" s="4" t="n">
        <v>0</v>
      </c>
      <c r="L129" s="2" t="n">
        <v>135</v>
      </c>
      <c r="M129" s="13">
        <f>L129/(N129+L129+J129+H129+F129)</f>
        <v/>
      </c>
      <c r="N129" s="2" t="n">
        <v>1909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44274</v>
      </c>
      <c r="C130" s="11" t="inlineStr">
        <is>
          <t>12</t>
        </is>
      </c>
      <c r="D130" s="9">
        <f>E130*16</f>
        <v/>
      </c>
      <c r="E130" s="9" t="n">
        <v>27</v>
      </c>
      <c r="F130" s="9" t="n">
        <v>165</v>
      </c>
      <c r="G130" s="4" t="n">
        <v>0.27778</v>
      </c>
      <c r="H130" s="9" t="n">
        <v>155</v>
      </c>
      <c r="I130" s="4" t="n">
        <v>0.26094</v>
      </c>
      <c r="J130" s="9" t="n">
        <v>0</v>
      </c>
      <c r="K130" s="4" t="n">
        <v>0</v>
      </c>
      <c r="L130" s="2" t="n">
        <v>12</v>
      </c>
      <c r="M130" s="13">
        <f>L130/(N130+L130+J130+H130+F130)</f>
        <v/>
      </c>
      <c r="N130" s="2" t="n">
        <v>262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44273</v>
      </c>
      <c r="C131" s="11" t="inlineStr">
        <is>
          <t>12</t>
        </is>
      </c>
      <c r="D131" s="9">
        <f>E131*16</f>
        <v/>
      </c>
      <c r="E131" s="9" t="n">
        <v>150</v>
      </c>
      <c r="F131" s="9" t="n">
        <v>1353</v>
      </c>
      <c r="G131" s="4" t="n">
        <v>0.41</v>
      </c>
      <c r="H131" s="9" t="n">
        <v>962</v>
      </c>
      <c r="I131" s="4" t="n">
        <v>0.29152</v>
      </c>
      <c r="J131" s="9" t="n">
        <v>0</v>
      </c>
      <c r="K131" s="4" t="n">
        <v>0</v>
      </c>
      <c r="L131" s="2" t="n">
        <v>66</v>
      </c>
      <c r="M131" s="13">
        <f>L131/(N131+L131+J131+H131+F131)</f>
        <v/>
      </c>
      <c r="N131" s="2" t="n">
        <v>919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44270</v>
      </c>
      <c r="C132" s="11" t="inlineStr">
        <is>
          <t>12</t>
        </is>
      </c>
      <c r="D132" s="9">
        <f>E132*16</f>
        <v/>
      </c>
      <c r="E132" s="9" t="n">
        <v>37</v>
      </c>
      <c r="F132" s="9" t="n">
        <v>347</v>
      </c>
      <c r="G132" s="4" t="n">
        <v>0.42629</v>
      </c>
      <c r="H132" s="9" t="n">
        <v>188</v>
      </c>
      <c r="I132" s="4" t="n">
        <v>0.23096</v>
      </c>
      <c r="J132" s="9" t="n">
        <v>0</v>
      </c>
      <c r="K132" s="4" t="n">
        <v>0</v>
      </c>
      <c r="L132" s="2" t="n">
        <v>16</v>
      </c>
      <c r="M132" s="13">
        <f>L132/(N132+L132+J132+H132+F132)</f>
        <v/>
      </c>
      <c r="N132" s="2" t="n">
        <v>263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44265</v>
      </c>
      <c r="C133" s="11" t="inlineStr">
        <is>
          <t>12</t>
        </is>
      </c>
      <c r="D133" s="9">
        <f>E133*16</f>
        <v/>
      </c>
      <c r="E133" s="9" t="n">
        <v>100</v>
      </c>
      <c r="F133" s="9" t="n">
        <v>894</v>
      </c>
      <c r="G133" s="4" t="n">
        <v>0.40636</v>
      </c>
      <c r="H133" s="9" t="n">
        <v>595</v>
      </c>
      <c r="I133" s="4" t="n">
        <v>0.27045</v>
      </c>
      <c r="J133" s="9" t="n">
        <v>0</v>
      </c>
      <c r="K133" s="4" t="n">
        <v>0</v>
      </c>
      <c r="L133" s="2" t="n">
        <v>44</v>
      </c>
      <c r="M133" s="13">
        <f>L133/(N133+L133+J133+H133+F133)</f>
        <v/>
      </c>
      <c r="N133" s="2" t="n">
        <v>667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44218</v>
      </c>
      <c r="C134" s="11" t="inlineStr">
        <is>
          <t>12</t>
        </is>
      </c>
      <c r="D134" s="9">
        <f>E134*16</f>
        <v/>
      </c>
      <c r="E134" s="9" t="n">
        <v>149</v>
      </c>
      <c r="F134" s="9" t="n">
        <v>1639</v>
      </c>
      <c r="G134" s="4" t="n">
        <v>0.5</v>
      </c>
      <c r="H134" s="9" t="n">
        <v>862</v>
      </c>
      <c r="I134" s="4" t="n">
        <v>0.26297</v>
      </c>
      <c r="J134" s="9" t="n">
        <v>0</v>
      </c>
      <c r="K134" s="4" t="n">
        <v>0</v>
      </c>
      <c r="L134" s="2" t="n">
        <v>66</v>
      </c>
      <c r="M134" s="13">
        <f>L134/(N134+L134+J134+H134+F134)</f>
        <v/>
      </c>
      <c r="N134" s="2" t="n">
        <v>711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44217</v>
      </c>
      <c r="C135" s="11" t="inlineStr">
        <is>
          <t>12</t>
        </is>
      </c>
      <c r="D135" s="9">
        <f>E135*16</f>
        <v/>
      </c>
      <c r="E135" s="9" t="n">
        <v>190</v>
      </c>
      <c r="F135" s="9" t="n">
        <v>2374</v>
      </c>
      <c r="G135" s="4" t="n">
        <v>0.56794</v>
      </c>
      <c r="H135" s="9" t="n">
        <v>1089</v>
      </c>
      <c r="I135" s="4" t="n">
        <v>0.26053</v>
      </c>
      <c r="J135" s="9" t="n">
        <v>0</v>
      </c>
      <c r="K135" s="4" t="n">
        <v>0</v>
      </c>
      <c r="L135" s="2" t="n">
        <v>84</v>
      </c>
      <c r="M135" s="13">
        <f>L135/(N135+L135+J135+H135+F135)</f>
        <v/>
      </c>
      <c r="N135" s="2" t="n">
        <v>633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44176</v>
      </c>
      <c r="C136" s="11" t="inlineStr">
        <is>
          <t>12</t>
        </is>
      </c>
      <c r="D136" s="9">
        <f>E136*16</f>
        <v/>
      </c>
      <c r="E136" s="9" t="n">
        <v>83</v>
      </c>
      <c r="F136" s="9" t="n">
        <v>874</v>
      </c>
      <c r="G136" s="4" t="n">
        <v>0.4789</v>
      </c>
      <c r="H136" s="9" t="n">
        <v>504</v>
      </c>
      <c r="I136" s="4" t="n">
        <v>0.27616</v>
      </c>
      <c r="J136" s="9" t="n">
        <v>0</v>
      </c>
      <c r="K136" s="4" t="n">
        <v>0</v>
      </c>
      <c r="L136" s="2" t="n">
        <v>37</v>
      </c>
      <c r="M136" s="13">
        <f>L136/(N136+L136+J136+H136+F136)</f>
        <v/>
      </c>
      <c r="N136" s="2" t="n">
        <v>410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44174</v>
      </c>
      <c r="C137" s="11" t="inlineStr">
        <is>
          <t>12</t>
        </is>
      </c>
      <c r="D137" s="9">
        <f>E137*16</f>
        <v/>
      </c>
      <c r="E137" s="9" t="n">
        <v>79</v>
      </c>
      <c r="F137" s="9" t="n">
        <v>742</v>
      </c>
      <c r="G137" s="4" t="n">
        <v>0.42693</v>
      </c>
      <c r="H137" s="9" t="n">
        <v>474</v>
      </c>
      <c r="I137" s="4" t="n">
        <v>0.27273</v>
      </c>
      <c r="J137" s="9" t="n">
        <v>0</v>
      </c>
      <c r="K137" s="4" t="n">
        <v>0</v>
      </c>
      <c r="L137" s="2" t="n">
        <v>35</v>
      </c>
      <c r="M137" s="13">
        <f>L137/(N137+L137+J137+H137+F137)</f>
        <v/>
      </c>
      <c r="N137" s="2" t="n">
        <v>487</v>
      </c>
      <c r="O137" s="13">
        <f>N137/(N137+L137+J137+H137+F137)</f>
        <v/>
      </c>
    </row>
    <row r="138">
      <c r="A138" s="2" t="inlineStr">
        <is>
          <t>LEMONS</t>
        </is>
      </c>
      <c r="B138" s="6" t="n">
        <v>44173</v>
      </c>
      <c r="C138" s="11" t="inlineStr">
        <is>
          <t>12</t>
        </is>
      </c>
      <c r="D138" s="9">
        <f>E138*16</f>
        <v/>
      </c>
      <c r="E138" s="9" t="n">
        <v>48</v>
      </c>
      <c r="F138" s="9" t="n">
        <v>619</v>
      </c>
      <c r="G138" s="4" t="n">
        <v>0.58617</v>
      </c>
      <c r="H138" s="9" t="n">
        <v>240</v>
      </c>
      <c r="I138" s="4" t="n">
        <v>0.22727</v>
      </c>
      <c r="J138" s="9" t="n">
        <v>0</v>
      </c>
      <c r="K138" s="4" t="n">
        <v>0</v>
      </c>
      <c r="L138" s="2" t="n">
        <v>21</v>
      </c>
      <c r="M138" s="13">
        <f>L138/(N138+L138+J138+H138+F138)</f>
        <v/>
      </c>
      <c r="N138" s="2" t="n">
        <v>176</v>
      </c>
      <c r="O138" s="13">
        <f>N138/(N138+L138+J138+H138+F138)</f>
        <v/>
      </c>
    </row>
    <row r="139">
      <c r="A139" s="2" t="inlineStr">
        <is>
          <t>LEMONS</t>
        </is>
      </c>
      <c r="B139" s="6" t="n">
        <v>44170</v>
      </c>
      <c r="C139" s="11" t="inlineStr">
        <is>
          <t>12</t>
        </is>
      </c>
      <c r="D139" s="9">
        <f>E139*16</f>
        <v/>
      </c>
      <c r="E139" s="9" t="n">
        <v>91</v>
      </c>
      <c r="F139" s="9" t="n">
        <v>1185</v>
      </c>
      <c r="G139" s="4" t="n">
        <v>0.5925</v>
      </c>
      <c r="H139" s="9" t="n">
        <v>406</v>
      </c>
      <c r="I139" s="4" t="n">
        <v>0.203</v>
      </c>
      <c r="J139" s="9" t="n">
        <v>0</v>
      </c>
      <c r="K139" s="4" t="n">
        <v>0</v>
      </c>
      <c r="L139" s="2" t="n">
        <v>40</v>
      </c>
      <c r="M139" s="13">
        <f>L139/(N139+L139+J139+H139+F139)</f>
        <v/>
      </c>
      <c r="N139" s="2" t="n">
        <v>369</v>
      </c>
      <c r="O139" s="13">
        <f>N139/(N139+L139+J139+H139+F139)</f>
        <v/>
      </c>
    </row>
    <row r="140">
      <c r="A140" s="2" t="inlineStr">
        <is>
          <t>MURCOTTS</t>
        </is>
      </c>
      <c r="B140" s="6" t="n">
        <v>44258</v>
      </c>
      <c r="C140" s="11" t="inlineStr">
        <is>
          <t>2A</t>
        </is>
      </c>
      <c r="D140" s="9">
        <f>E140*16</f>
        <v/>
      </c>
      <c r="E140" s="9" t="n">
        <v>49.75</v>
      </c>
      <c r="F140" s="9" t="n">
        <v>6025</v>
      </c>
      <c r="G140" s="4" t="n">
        <v>0.69798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173</v>
      </c>
      <c r="M140" s="13">
        <f>L140/(N140+L140+J140+H140+F140)</f>
        <v/>
      </c>
      <c r="N140" s="2" t="n">
        <v>2434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44211</v>
      </c>
      <c r="C141" s="11" t="inlineStr">
        <is>
          <t>2B</t>
        </is>
      </c>
      <c r="D141" s="9">
        <f>E141*16</f>
        <v/>
      </c>
      <c r="E141" s="9" t="n">
        <v>48</v>
      </c>
      <c r="F141" s="9" t="n">
        <v>5373</v>
      </c>
      <c r="G141" s="4" t="n">
        <v>0.64517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167</v>
      </c>
      <c r="M141" s="13">
        <f>L141/(N141+L141+J141+H141+F141)</f>
        <v/>
      </c>
      <c r="N141" s="2" t="n">
        <v>2788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44195</v>
      </c>
      <c r="C142" s="11" t="inlineStr">
        <is>
          <t>2B</t>
        </is>
      </c>
      <c r="D142" s="9">
        <f>E142*16</f>
        <v/>
      </c>
      <c r="E142" s="9" t="n">
        <v>31</v>
      </c>
      <c r="F142" s="9" t="n">
        <v>4420</v>
      </c>
      <c r="G142" s="4" t="n">
        <v>0.8217100000000001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108</v>
      </c>
      <c r="M142" s="13">
        <f>L142/(N142+L142+J142+H142+F142)</f>
        <v/>
      </c>
      <c r="N142" s="2" t="n">
        <v>851</v>
      </c>
      <c r="O142" s="13">
        <f>N142/(N142+L142+J142+H142+F142)</f>
        <v/>
      </c>
    </row>
    <row r="143">
      <c r="A143" s="2" t="inlineStr">
        <is>
          <t>CLEMENTINES</t>
        </is>
      </c>
      <c r="B143" s="6" t="n">
        <v>44167</v>
      </c>
      <c r="C143" s="11" t="inlineStr">
        <is>
          <t>2B</t>
        </is>
      </c>
      <c r="D143" s="9">
        <f>E143*16</f>
        <v/>
      </c>
      <c r="E143" s="9" t="n">
        <v>85</v>
      </c>
      <c r="F143" s="9" t="n">
        <v>11303</v>
      </c>
      <c r="G143" s="4" t="n">
        <v>0.76641</v>
      </c>
      <c r="H143" s="9" t="n">
        <v>0</v>
      </c>
      <c r="I143" s="4" t="n">
        <v>0</v>
      </c>
      <c r="J143" s="9" t="n">
        <v>0</v>
      </c>
      <c r="K143" s="4" t="n">
        <v>0</v>
      </c>
      <c r="L143" s="2" t="n">
        <v>295</v>
      </c>
      <c r="M143" s="13">
        <f>L143/(N143+L143+J143+H143+F143)</f>
        <v/>
      </c>
      <c r="N143" s="2" t="n">
        <v>3150</v>
      </c>
      <c r="O143" s="13">
        <f>N143/(N143+L143+J143+H143+F143)</f>
        <v/>
      </c>
    </row>
    <row r="144">
      <c r="A144" s="2" t="inlineStr">
        <is>
          <t>CLEMENTINES</t>
        </is>
      </c>
      <c r="B144" s="6" t="n">
        <v>44166</v>
      </c>
      <c r="C144" s="11" t="inlineStr">
        <is>
          <t>2B</t>
        </is>
      </c>
      <c r="D144" s="9">
        <f>E144*16</f>
        <v/>
      </c>
      <c r="E144" s="9" t="n">
        <v>48</v>
      </c>
      <c r="F144" s="9" t="n">
        <v>6739</v>
      </c>
      <c r="G144" s="4" t="n">
        <v>0.8092</v>
      </c>
      <c r="H144" s="9" t="n">
        <v>0</v>
      </c>
      <c r="I144" s="4" t="n">
        <v>0</v>
      </c>
      <c r="J144" s="9" t="n">
        <v>0</v>
      </c>
      <c r="K144" s="4" t="n">
        <v>0</v>
      </c>
      <c r="L144" s="2" t="n">
        <v>167</v>
      </c>
      <c r="M144" s="13">
        <f>L144/(N144+L144+J144+H144+F144)</f>
        <v/>
      </c>
      <c r="N144" s="2" t="n">
        <v>1422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44344</v>
      </c>
      <c r="C145" s="11" t="inlineStr">
        <is>
          <t>8</t>
        </is>
      </c>
      <c r="D145" s="9">
        <f>E145*16</f>
        <v/>
      </c>
      <c r="E145" s="9" t="n">
        <v>298</v>
      </c>
      <c r="F145" s="9" t="n">
        <v>3192</v>
      </c>
      <c r="G145" s="4" t="n">
        <v>0.46571</v>
      </c>
      <c r="H145" s="9" t="n">
        <v>1170</v>
      </c>
      <c r="I145" s="4" t="n">
        <v>0.1707</v>
      </c>
      <c r="J145" s="9" t="n">
        <v>0</v>
      </c>
      <c r="K145" s="4" t="n">
        <v>0</v>
      </c>
      <c r="L145" s="2" t="n">
        <v>137</v>
      </c>
      <c r="M145" s="13">
        <f>L145/(N145+L145+J145+H145+F145)</f>
        <v/>
      </c>
      <c r="N145" s="2" t="n">
        <v>2355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44347</v>
      </c>
      <c r="C146" s="11" t="inlineStr">
        <is>
          <t>8</t>
        </is>
      </c>
      <c r="D146" s="9">
        <f>E146*16</f>
        <v/>
      </c>
      <c r="E146" s="9" t="n">
        <v>68</v>
      </c>
      <c r="F146" s="9" t="n">
        <v>728</v>
      </c>
      <c r="G146" s="4" t="n">
        <v>0.46547</v>
      </c>
      <c r="H146" s="9" t="n">
        <v>279</v>
      </c>
      <c r="I146" s="4" t="n">
        <v>0.17839</v>
      </c>
      <c r="J146" s="9" t="n">
        <v>0</v>
      </c>
      <c r="K146" s="4" t="n">
        <v>0</v>
      </c>
      <c r="L146" s="2" t="n">
        <v>31</v>
      </c>
      <c r="M146" s="13">
        <f>L146/(N146+L146+J146+H146+F146)</f>
        <v/>
      </c>
      <c r="N146" s="2" t="n">
        <v>526</v>
      </c>
      <c r="O146" s="13">
        <f>N146/(N146+L146+J146+H146+F146)</f>
        <v/>
      </c>
    </row>
    <row r="147">
      <c r="A147" s="2" t="inlineStr">
        <is>
          <t>NAVEL</t>
        </is>
      </c>
      <c r="B147" s="6" t="n">
        <v>44343</v>
      </c>
      <c r="C147" s="11" t="inlineStr">
        <is>
          <t>8</t>
        </is>
      </c>
      <c r="D147" s="9">
        <f>E147*16</f>
        <v/>
      </c>
      <c r="E147" s="9" t="n">
        <v>184</v>
      </c>
      <c r="F147" s="9" t="n">
        <v>2217</v>
      </c>
      <c r="G147" s="4" t="n">
        <v>0.5238699999999999</v>
      </c>
      <c r="H147" s="9" t="n">
        <v>649</v>
      </c>
      <c r="I147" s="4" t="n">
        <v>0.15336</v>
      </c>
      <c r="J147" s="9" t="n">
        <v>0</v>
      </c>
      <c r="K147" s="4" t="n">
        <v>0</v>
      </c>
      <c r="L147" s="2" t="n">
        <v>85</v>
      </c>
      <c r="M147" s="13">
        <f>L147/(N147+L147+J147+H147+F147)</f>
        <v/>
      </c>
      <c r="N147" s="2" t="n">
        <v>1281</v>
      </c>
      <c r="O147" s="13">
        <f>N147/(N147+L147+J147+H147+F147)</f>
        <v/>
      </c>
    </row>
    <row r="148">
      <c r="A148" s="2" t="inlineStr">
        <is>
          <t>NAVEL</t>
        </is>
      </c>
      <c r="B148" s="6" t="n">
        <v>44342</v>
      </c>
      <c r="C148" s="11" t="inlineStr">
        <is>
          <t>8</t>
        </is>
      </c>
      <c r="D148" s="9">
        <f>E148*16</f>
        <v/>
      </c>
      <c r="E148" s="9" t="n">
        <v>150</v>
      </c>
      <c r="F148" s="9" t="n">
        <v>1620</v>
      </c>
      <c r="G148" s="4" t="n">
        <v>0.46957</v>
      </c>
      <c r="H148" s="9" t="n">
        <v>549</v>
      </c>
      <c r="I148" s="4" t="n">
        <v>0.15913</v>
      </c>
      <c r="J148" s="9" t="n">
        <v>0</v>
      </c>
      <c r="K148" s="4" t="n">
        <v>0</v>
      </c>
      <c r="L148" s="2" t="n">
        <v>69</v>
      </c>
      <c r="M148" s="13">
        <f>L148/(N148+L148+J148+H148+F148)</f>
        <v/>
      </c>
      <c r="N148" s="2" t="n">
        <v>1212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44323</v>
      </c>
      <c r="C149" s="11" t="inlineStr">
        <is>
          <t>9</t>
        </is>
      </c>
      <c r="D149" s="9">
        <f>E149*16</f>
        <v/>
      </c>
      <c r="E149" s="9" t="n">
        <v>162</v>
      </c>
      <c r="F149" s="9" t="n">
        <v>525</v>
      </c>
      <c r="G149" s="4" t="n">
        <v>0.1409</v>
      </c>
      <c r="H149" s="9" t="n">
        <v>174</v>
      </c>
      <c r="I149" s="4" t="n">
        <v>0.0467</v>
      </c>
      <c r="J149" s="9" t="n">
        <v>0</v>
      </c>
      <c r="K149" s="4" t="n">
        <v>0</v>
      </c>
      <c r="L149" s="2" t="n">
        <v>75</v>
      </c>
      <c r="M149" s="13">
        <f>L149/(N149+L149+J149+H149+F149)</f>
        <v/>
      </c>
      <c r="N149" s="2" t="n">
        <v>2952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44313</v>
      </c>
      <c r="C150" s="11" t="inlineStr">
        <is>
          <t>9</t>
        </is>
      </c>
      <c r="D150" s="9">
        <f>E150*16</f>
        <v/>
      </c>
      <c r="E150" s="9" t="n">
        <v>100</v>
      </c>
      <c r="F150" s="9" t="n">
        <v>393</v>
      </c>
      <c r="G150" s="4" t="n">
        <v>0.17087</v>
      </c>
      <c r="H150" s="9" t="n">
        <v>109</v>
      </c>
      <c r="I150" s="4" t="n">
        <v>0.04739</v>
      </c>
      <c r="J150" s="9" t="n">
        <v>0</v>
      </c>
      <c r="K150" s="4" t="n">
        <v>0</v>
      </c>
      <c r="L150" s="2" t="n">
        <v>46</v>
      </c>
      <c r="M150" s="13">
        <f>L150/(N150+L150+J150+H150+F150)</f>
        <v/>
      </c>
      <c r="N150" s="2" t="n">
        <v>1752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44300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1088</v>
      </c>
      <c r="G151" s="4" t="n">
        <v>0.47304</v>
      </c>
      <c r="H151" s="9" t="n">
        <v>198</v>
      </c>
      <c r="I151" s="4" t="n">
        <v>0.08609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968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44299</v>
      </c>
      <c r="C152" s="11" t="inlineStr">
        <is>
          <t>9</t>
        </is>
      </c>
      <c r="D152" s="9">
        <f>E152*16</f>
        <v/>
      </c>
      <c r="E152" s="9" t="n">
        <v>50</v>
      </c>
      <c r="F152" s="9" t="n">
        <v>915</v>
      </c>
      <c r="G152" s="4" t="n">
        <v>0.79565</v>
      </c>
      <c r="H152" s="9" t="n">
        <v>86</v>
      </c>
      <c r="I152" s="4" t="n">
        <v>0.07478</v>
      </c>
      <c r="J152" s="9" t="n">
        <v>0</v>
      </c>
      <c r="K152" s="4" t="n">
        <v>0</v>
      </c>
      <c r="L152" s="2" t="n">
        <v>23</v>
      </c>
      <c r="M152" s="13">
        <f>L152/(N152+L152+J152+H152+F152)</f>
        <v/>
      </c>
      <c r="N152" s="2" t="n">
        <v>126</v>
      </c>
      <c r="O152" s="13">
        <f>N152/(N152+L152+J152+H152+F152)</f>
        <v/>
      </c>
    </row>
    <row r="153">
      <c r="A153" s="2" t="inlineStr">
        <is>
          <t>CARA-CARA</t>
        </is>
      </c>
      <c r="B153" s="6" t="n">
        <v>44281</v>
      </c>
      <c r="C153" s="11" t="inlineStr">
        <is>
          <t>9</t>
        </is>
      </c>
      <c r="D153" s="9">
        <f>E153*16</f>
        <v/>
      </c>
      <c r="E153" s="9" t="n">
        <v>100</v>
      </c>
      <c r="F153" s="9" t="n">
        <v>1721</v>
      </c>
      <c r="G153" s="4" t="n">
        <v>0.74826</v>
      </c>
      <c r="H153" s="9" t="n">
        <v>171</v>
      </c>
      <c r="I153" s="4" t="n">
        <v>0.07435</v>
      </c>
      <c r="J153" s="9" t="n">
        <v>0</v>
      </c>
      <c r="K153" s="4" t="n">
        <v>0</v>
      </c>
      <c r="L153" s="2" t="n">
        <v>46</v>
      </c>
      <c r="M153" s="13">
        <f>L153/(N153+L153+J153+H153+F153)</f>
        <v/>
      </c>
      <c r="N153" s="2" t="n">
        <v>362</v>
      </c>
      <c r="O153" s="13">
        <f>N153/(N153+L153+J153+H153+F153)</f>
        <v/>
      </c>
    </row>
    <row r="154">
      <c r="A154" s="2" t="inlineStr">
        <is>
          <t>CARA-CARA</t>
        </is>
      </c>
      <c r="B154" s="6" t="n">
        <v>44250</v>
      </c>
      <c r="C154" s="11" t="inlineStr">
        <is>
          <t>9</t>
        </is>
      </c>
      <c r="D154" s="9">
        <f>E154*16</f>
        <v/>
      </c>
      <c r="E154" s="9" t="n">
        <v>100</v>
      </c>
      <c r="F154" s="9" t="n">
        <v>2007</v>
      </c>
      <c r="G154" s="4" t="n">
        <v>0.87261</v>
      </c>
      <c r="H154" s="9" t="n">
        <v>211</v>
      </c>
      <c r="I154" s="4" t="n">
        <v>0.09174</v>
      </c>
      <c r="J154" s="9" t="n">
        <v>0</v>
      </c>
      <c r="K154" s="4" t="n">
        <v>0</v>
      </c>
      <c r="L154" s="2" t="n">
        <v>46</v>
      </c>
      <c r="M154" s="13">
        <f>L154/(N154+L154+J154+H154+F154)</f>
        <v/>
      </c>
      <c r="N154" s="2" t="n">
        <v>36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43879</v>
      </c>
      <c r="C155" s="11" t="inlineStr">
        <is>
          <t>12</t>
        </is>
      </c>
      <c r="D155" s="9">
        <f>E155*16</f>
        <v/>
      </c>
      <c r="E155" s="9" t="n">
        <v>280.5</v>
      </c>
      <c r="F155" s="9" t="n">
        <v>3496</v>
      </c>
      <c r="G155" s="4" t="n">
        <v>0.56652</v>
      </c>
      <c r="H155" s="9" t="n">
        <v>1375</v>
      </c>
      <c r="I155" s="4" t="n">
        <v>0.22282</v>
      </c>
      <c r="J155" s="9" t="n">
        <v>0</v>
      </c>
      <c r="K155" s="4" t="n">
        <v>0</v>
      </c>
      <c r="L155" s="2" t="n">
        <v>123</v>
      </c>
      <c r="M155" s="13">
        <f>L155/(N155+L155+J155+H155+F155)</f>
        <v/>
      </c>
      <c r="N155" s="2" t="n">
        <v>1177</v>
      </c>
      <c r="O155" s="13">
        <f>N155/(N155+L155+J155+H155+F155)</f>
        <v/>
      </c>
    </row>
    <row r="156">
      <c r="A156" s="2" t="inlineStr">
        <is>
          <t>LEMONS</t>
        </is>
      </c>
      <c r="B156" s="6" t="n">
        <v>43878</v>
      </c>
      <c r="C156" s="11" t="inlineStr">
        <is>
          <t>12</t>
        </is>
      </c>
      <c r="D156" s="9">
        <f>E156*16</f>
        <v/>
      </c>
      <c r="E156" s="9" t="n">
        <v>288</v>
      </c>
      <c r="F156" s="9" t="n">
        <v>3348</v>
      </c>
      <c r="G156" s="4" t="n">
        <v>0.52841</v>
      </c>
      <c r="H156" s="9" t="n">
        <v>1327</v>
      </c>
      <c r="I156" s="4" t="n">
        <v>0.20944</v>
      </c>
      <c r="J156" s="9" t="n">
        <v>0</v>
      </c>
      <c r="K156" s="4" t="n">
        <v>0</v>
      </c>
      <c r="L156" s="2" t="n">
        <v>127</v>
      </c>
      <c r="M156" s="13">
        <f>L156/(N156+L156+J156+H156+F156)</f>
        <v/>
      </c>
      <c r="N156" s="2" t="n">
        <v>1534</v>
      </c>
      <c r="O156" s="13">
        <f>N156/(N156+L156+J156+H156+F156)</f>
        <v/>
      </c>
    </row>
    <row r="157">
      <c r="A157" s="2" t="inlineStr">
        <is>
          <t>LEMONS</t>
        </is>
      </c>
      <c r="B157" s="6" t="n">
        <v>43809</v>
      </c>
      <c r="C157" s="11" t="inlineStr">
        <is>
          <t>12</t>
        </is>
      </c>
      <c r="D157" s="9">
        <f>E157*16</f>
        <v/>
      </c>
      <c r="E157" s="9" t="n">
        <v>300</v>
      </c>
      <c r="F157" s="9" t="n">
        <v>3498</v>
      </c>
      <c r="G157" s="4" t="n">
        <v>0.53016</v>
      </c>
      <c r="H157" s="9" t="n">
        <v>1385</v>
      </c>
      <c r="I157" s="4" t="n">
        <v>0.20991</v>
      </c>
      <c r="J157" s="9" t="n">
        <v>0</v>
      </c>
      <c r="K157" s="4" t="n">
        <v>0</v>
      </c>
      <c r="L157" s="2" t="n">
        <v>132</v>
      </c>
      <c r="M157" s="13">
        <f>L157/(N157+L157+J157+H157+F157)</f>
        <v/>
      </c>
      <c r="N157" s="2" t="n">
        <v>1583</v>
      </c>
      <c r="O157" s="13">
        <f>N157/(N157+L157+J157+H157+F157)</f>
        <v/>
      </c>
    </row>
    <row r="158">
      <c r="A158" s="2" t="inlineStr">
        <is>
          <t>MURCOTTS</t>
        </is>
      </c>
      <c r="B158" s="6" t="n">
        <v>43924</v>
      </c>
      <c r="C158" s="11" t="inlineStr">
        <is>
          <t>2A</t>
        </is>
      </c>
      <c r="D158" s="9">
        <f>E158*16</f>
        <v/>
      </c>
      <c r="E158" s="9" t="n">
        <v>10.25</v>
      </c>
      <c r="F158" s="9" t="n">
        <v>1527</v>
      </c>
      <c r="G158" s="4" t="n">
        <v>0.85883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36</v>
      </c>
      <c r="M158" s="13">
        <f>L158/(N158+L158+J158+H158+F158)</f>
        <v/>
      </c>
      <c r="N158" s="2" t="n">
        <v>215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43822</v>
      </c>
      <c r="C159" s="11" t="inlineStr">
        <is>
          <t>2B</t>
        </is>
      </c>
      <c r="D159" s="9">
        <f>E159*16</f>
        <v/>
      </c>
      <c r="E159" s="9" t="n">
        <v>9.25</v>
      </c>
      <c r="F159" s="9" t="n">
        <v>1316</v>
      </c>
      <c r="G159" s="4" t="n">
        <v>0.81994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32</v>
      </c>
      <c r="M159" s="13">
        <f>L159/(N159+L159+J159+H159+F159)</f>
        <v/>
      </c>
      <c r="N159" s="2" t="n">
        <v>257</v>
      </c>
      <c r="O159" s="13">
        <f>N159/(N159+L159+J159+H159+F159)</f>
        <v/>
      </c>
    </row>
    <row r="160">
      <c r="A160" s="2" t="inlineStr">
        <is>
          <t>CLEMENTINES</t>
        </is>
      </c>
      <c r="B160" s="6" t="n">
        <v>43820</v>
      </c>
      <c r="C160" s="11" t="inlineStr">
        <is>
          <t>2B</t>
        </is>
      </c>
      <c r="D160" s="9">
        <f>E160*16</f>
        <v/>
      </c>
      <c r="E160" s="9" t="n">
        <v>41</v>
      </c>
      <c r="F160" s="9" t="n">
        <v>6060</v>
      </c>
      <c r="G160" s="4" t="n">
        <v>0.8519600000000001</v>
      </c>
      <c r="H160" s="9" t="n">
        <v>0</v>
      </c>
      <c r="I160" s="4" t="n">
        <v>0</v>
      </c>
      <c r="J160" s="9" t="n">
        <v>0</v>
      </c>
      <c r="K160" s="4" t="n">
        <v>0</v>
      </c>
      <c r="L160" s="2" t="n">
        <v>142</v>
      </c>
      <c r="M160" s="13">
        <f>L160/(N160+L160+J160+H160+F160)</f>
        <v/>
      </c>
      <c r="N160" s="2" t="n">
        <v>911</v>
      </c>
      <c r="O160" s="13">
        <f>N160/(N160+L160+J160+H160+F160)</f>
        <v/>
      </c>
    </row>
    <row r="161">
      <c r="A161" s="2" t="inlineStr">
        <is>
          <t>CLEMENTINES</t>
        </is>
      </c>
      <c r="B161" s="6" t="n">
        <v>43795</v>
      </c>
      <c r="C161" s="11" t="inlineStr">
        <is>
          <t>2B</t>
        </is>
      </c>
      <c r="D161" s="9">
        <f>E161*16</f>
        <v/>
      </c>
      <c r="E161" s="9" t="n">
        <v>66</v>
      </c>
      <c r="F161" s="9" t="n">
        <v>9841</v>
      </c>
      <c r="G161" s="4" t="n">
        <v>0.8594000000000001</v>
      </c>
      <c r="H161" s="9" t="n">
        <v>0</v>
      </c>
      <c r="I161" s="4" t="n">
        <v>0</v>
      </c>
      <c r="J161" s="9" t="n">
        <v>0</v>
      </c>
      <c r="K161" s="4" t="n">
        <v>0</v>
      </c>
      <c r="L161" s="2" t="n">
        <v>229</v>
      </c>
      <c r="M161" s="13">
        <f>L161/(N161+L161+J161+H161+F161)</f>
        <v/>
      </c>
      <c r="N161" s="2" t="n">
        <v>1381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43969</v>
      </c>
      <c r="C162" s="11" t="inlineStr">
        <is>
          <t>10</t>
        </is>
      </c>
      <c r="D162" s="9">
        <f>E162*16</f>
        <v/>
      </c>
      <c r="E162" s="9" t="n">
        <v>63.75</v>
      </c>
      <c r="F162" s="9" t="n">
        <v>564</v>
      </c>
      <c r="G162" s="4" t="n">
        <v>0.38446</v>
      </c>
      <c r="H162" s="9" t="n">
        <v>457</v>
      </c>
      <c r="I162" s="4" t="n">
        <v>0.31152</v>
      </c>
      <c r="J162" s="9" t="n">
        <v>0</v>
      </c>
      <c r="K162" s="4" t="n">
        <v>0</v>
      </c>
      <c r="L162" s="2" t="n">
        <v>29</v>
      </c>
      <c r="M162" s="13">
        <f>L162/(N162+L162+J162+H162+F162)</f>
        <v/>
      </c>
      <c r="N162" s="2" t="n">
        <v>417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43967</v>
      </c>
      <c r="C163" s="11" t="inlineStr">
        <is>
          <t>10</t>
        </is>
      </c>
      <c r="D163" s="9">
        <f>E163*16</f>
        <v/>
      </c>
      <c r="E163" s="9" t="n">
        <v>349</v>
      </c>
      <c r="F163" s="9" t="n">
        <v>4003</v>
      </c>
      <c r="G163" s="4" t="n">
        <v>0.49863</v>
      </c>
      <c r="H163" s="9" t="n">
        <v>1889</v>
      </c>
      <c r="I163" s="4" t="n">
        <v>0.2353</v>
      </c>
      <c r="J163" s="9" t="n">
        <v>0</v>
      </c>
      <c r="K163" s="4" t="n">
        <v>0</v>
      </c>
      <c r="L163" s="2" t="n">
        <v>161</v>
      </c>
      <c r="M163" s="13">
        <f>L163/(N163+L163+J163+H163+F163)</f>
        <v/>
      </c>
      <c r="N163" s="2" t="n">
        <v>1975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43939</v>
      </c>
      <c r="C164" s="11" t="inlineStr">
        <is>
          <t>3</t>
        </is>
      </c>
      <c r="D164" s="9">
        <f>E164*16</f>
        <v/>
      </c>
      <c r="E164" s="9" t="n">
        <v>101</v>
      </c>
      <c r="F164" s="9" t="n">
        <v>1450</v>
      </c>
      <c r="G164" s="4" t="n">
        <v>0.62419</v>
      </c>
      <c r="H164" s="9" t="n">
        <v>526</v>
      </c>
      <c r="I164" s="4" t="n">
        <v>0.22643</v>
      </c>
      <c r="J164" s="9" t="n">
        <v>0</v>
      </c>
      <c r="K164" s="4" t="n">
        <v>0</v>
      </c>
      <c r="L164" s="2" t="n">
        <v>46</v>
      </c>
      <c r="M164" s="13">
        <f>L164/(N164+L164+J164+H164+F164)</f>
        <v/>
      </c>
      <c r="N164" s="2" t="n">
        <v>301</v>
      </c>
      <c r="O164" s="13">
        <f>N164/(N164+L164+J164+H164+F164)</f>
        <v/>
      </c>
    </row>
    <row r="165">
      <c r="A165" s="2" t="inlineStr">
        <is>
          <t>NAVEL</t>
        </is>
      </c>
      <c r="B165" s="6" t="n">
        <v>43938</v>
      </c>
      <c r="C165" s="11" t="inlineStr">
        <is>
          <t>3</t>
        </is>
      </c>
      <c r="D165" s="9">
        <f>E165*16</f>
        <v/>
      </c>
      <c r="E165" s="9" t="n">
        <v>200</v>
      </c>
      <c r="F165" s="9" t="n">
        <v>3029</v>
      </c>
      <c r="G165" s="4" t="n">
        <v>0.65848</v>
      </c>
      <c r="H165" s="9" t="n">
        <v>602</v>
      </c>
      <c r="I165" s="4" t="n">
        <v>0.13087</v>
      </c>
      <c r="J165" s="9" t="n">
        <v>0</v>
      </c>
      <c r="K165" s="4" t="n">
        <v>0</v>
      </c>
      <c r="L165" s="2" t="n">
        <v>92</v>
      </c>
      <c r="M165" s="13">
        <f>L165/(N165+L165+J165+H165+F165)</f>
        <v/>
      </c>
      <c r="N165" s="2" t="n">
        <v>877</v>
      </c>
      <c r="O165" s="13">
        <f>N165/(N165+L165+J165+H165+F165)</f>
        <v/>
      </c>
    </row>
    <row r="166">
      <c r="A166" s="2" t="inlineStr">
        <is>
          <t>NAVEL</t>
        </is>
      </c>
      <c r="B166" s="6" t="n">
        <v>43888</v>
      </c>
      <c r="C166" s="11" t="inlineStr">
        <is>
          <t>3</t>
        </is>
      </c>
      <c r="D166" s="9">
        <f>E166*16</f>
        <v/>
      </c>
      <c r="E166" s="9" t="n">
        <v>289</v>
      </c>
      <c r="F166" s="9" t="n">
        <v>3844</v>
      </c>
      <c r="G166" s="4" t="n">
        <v>0.57831</v>
      </c>
      <c r="H166" s="9" t="n">
        <v>1548</v>
      </c>
      <c r="I166" s="4" t="n">
        <v>0.23289</v>
      </c>
      <c r="J166" s="9" t="n">
        <v>0</v>
      </c>
      <c r="K166" s="4" t="n">
        <v>0</v>
      </c>
      <c r="L166" s="2" t="n">
        <v>133</v>
      </c>
      <c r="M166" s="13">
        <f>L166/(N166+L166+J166+H166+F166)</f>
        <v/>
      </c>
      <c r="N166" s="2" t="n">
        <v>1122</v>
      </c>
      <c r="O166" s="13">
        <f>N166/(N166+L166+J166+H166+F166)</f>
        <v/>
      </c>
    </row>
    <row r="167">
      <c r="A167" s="2" t="inlineStr">
        <is>
          <t>VALENCIA</t>
        </is>
      </c>
      <c r="B167" s="6" t="n">
        <v>44111</v>
      </c>
      <c r="C167" s="11" t="inlineStr">
        <is>
          <t>5</t>
        </is>
      </c>
      <c r="D167" s="9">
        <f>E167*16</f>
        <v/>
      </c>
      <c r="E167" s="9" t="n">
        <v>195</v>
      </c>
      <c r="F167" s="9" t="n">
        <v>2410</v>
      </c>
      <c r="G167" s="4" t="n">
        <v>0.53735</v>
      </c>
      <c r="H167" s="9" t="n">
        <v>506</v>
      </c>
      <c r="I167" s="4" t="n">
        <v>0.11282</v>
      </c>
      <c r="J167" s="9" t="n">
        <v>0</v>
      </c>
      <c r="K167" s="4" t="n">
        <v>0</v>
      </c>
      <c r="L167" s="2" t="n">
        <v>115</v>
      </c>
      <c r="M167" s="13">
        <f>L167/(N167+L167+J167+H167+F167)</f>
        <v/>
      </c>
      <c r="N167" s="2" t="n">
        <v>1454</v>
      </c>
      <c r="O167" s="13">
        <f>N167/(N167+L167+J167+H167+F167)</f>
        <v/>
      </c>
    </row>
    <row r="168">
      <c r="A168" s="2" t="inlineStr">
        <is>
          <t>VALENCIA</t>
        </is>
      </c>
      <c r="B168" s="6" t="n">
        <v>44032</v>
      </c>
      <c r="C168" s="11" t="inlineStr">
        <is>
          <t>5</t>
        </is>
      </c>
      <c r="D168" s="9">
        <f>E168*16</f>
        <v/>
      </c>
      <c r="E168" s="9" t="n">
        <v>16</v>
      </c>
      <c r="F168" s="9" t="n">
        <v>160</v>
      </c>
      <c r="G168" s="4" t="n">
        <v>0.43478</v>
      </c>
      <c r="H168" s="9" t="n">
        <v>59</v>
      </c>
      <c r="I168" s="4" t="n">
        <v>0.16033</v>
      </c>
      <c r="J168" s="9" t="n">
        <v>0</v>
      </c>
      <c r="K168" s="4" t="n">
        <v>0</v>
      </c>
      <c r="L168" s="2" t="n">
        <v>0</v>
      </c>
      <c r="M168" s="13">
        <f>L168/(N168+L168+J168+H168+F168)</f>
        <v/>
      </c>
      <c r="N168" s="2" t="n">
        <v>149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43973</v>
      </c>
      <c r="C169" s="11" t="inlineStr">
        <is>
          <t>8</t>
        </is>
      </c>
      <c r="D169" s="9">
        <f>E169*16</f>
        <v/>
      </c>
      <c r="E169" s="9" t="n">
        <v>94</v>
      </c>
      <c r="F169" s="9" t="n">
        <v>1370</v>
      </c>
      <c r="G169" s="4" t="n">
        <v>0.63367</v>
      </c>
      <c r="H169" s="9" t="n">
        <v>601</v>
      </c>
      <c r="I169" s="4" t="n">
        <v>0.27798</v>
      </c>
      <c r="J169" s="9" t="n">
        <v>0</v>
      </c>
      <c r="K169" s="4" t="n">
        <v>0</v>
      </c>
      <c r="L169" s="2" t="n">
        <v>43</v>
      </c>
      <c r="M169" s="13">
        <f>L169/(N169+L169+J169+H169+F169)</f>
        <v/>
      </c>
      <c r="N169" s="2" t="n">
        <v>148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43972</v>
      </c>
      <c r="C170" s="11" t="inlineStr">
        <is>
          <t>8</t>
        </is>
      </c>
      <c r="D170" s="9">
        <f>E170*16</f>
        <v/>
      </c>
      <c r="E170" s="9" t="n">
        <v>145</v>
      </c>
      <c r="F170" s="9" t="n">
        <v>1949</v>
      </c>
      <c r="G170" s="4" t="n">
        <v>0.58441</v>
      </c>
      <c r="H170" s="9" t="n">
        <v>1028</v>
      </c>
      <c r="I170" s="4" t="n">
        <v>0.30825</v>
      </c>
      <c r="J170" s="9" t="n">
        <v>0</v>
      </c>
      <c r="K170" s="4" t="n">
        <v>0</v>
      </c>
      <c r="L170" s="2" t="n">
        <v>67</v>
      </c>
      <c r="M170" s="13">
        <f>L170/(N170+L170+J170+H170+F170)</f>
        <v/>
      </c>
      <c r="N170" s="2" t="n">
        <v>291</v>
      </c>
      <c r="O170" s="13">
        <f>N170/(N170+L170+J170+H170+F170)</f>
        <v/>
      </c>
    </row>
    <row r="171">
      <c r="A171" s="2" t="inlineStr">
        <is>
          <t>NAVEL</t>
        </is>
      </c>
      <c r="B171" s="6" t="n">
        <v>43969</v>
      </c>
      <c r="C171" s="11" t="inlineStr">
        <is>
          <t>8</t>
        </is>
      </c>
      <c r="D171" s="9">
        <f>E171*16</f>
        <v/>
      </c>
      <c r="E171" s="9" t="n">
        <v>225</v>
      </c>
      <c r="F171" s="9" t="n">
        <v>1844</v>
      </c>
      <c r="G171" s="4" t="n">
        <v>0.3564</v>
      </c>
      <c r="H171" s="9" t="n">
        <v>1545</v>
      </c>
      <c r="I171" s="4" t="n">
        <v>0.29861</v>
      </c>
      <c r="J171" s="9" t="n">
        <v>0</v>
      </c>
      <c r="K171" s="4" t="n">
        <v>0</v>
      </c>
      <c r="L171" s="2" t="n">
        <v>104</v>
      </c>
      <c r="M171" s="13">
        <f>L171/(N171+L171+J171+H171+F171)</f>
        <v/>
      </c>
      <c r="N171" s="2" t="n">
        <v>1681</v>
      </c>
      <c r="O171" s="13">
        <f>N171/(N171+L171+J171+H171+F171)</f>
        <v/>
      </c>
    </row>
    <row r="172">
      <c r="A172" s="2" t="inlineStr">
        <is>
          <t>NAVEL</t>
        </is>
      </c>
      <c r="B172" s="6" t="n">
        <v>43957</v>
      </c>
      <c r="C172" s="11" t="inlineStr">
        <is>
          <t>8</t>
        </is>
      </c>
      <c r="D172" s="9">
        <f>E172*16</f>
        <v/>
      </c>
      <c r="E172" s="9" t="n">
        <v>150</v>
      </c>
      <c r="F172" s="9" t="n">
        <v>2141</v>
      </c>
      <c r="G172" s="4" t="n">
        <v>0.62058</v>
      </c>
      <c r="H172" s="9" t="n">
        <v>478</v>
      </c>
      <c r="I172" s="4" t="n">
        <v>0.13855</v>
      </c>
      <c r="J172" s="9" t="n">
        <v>0</v>
      </c>
      <c r="K172" s="4" t="n">
        <v>0</v>
      </c>
      <c r="L172" s="2" t="n">
        <v>69</v>
      </c>
      <c r="M172" s="13">
        <f>L172/(N172+L172+J172+H172+F172)</f>
        <v/>
      </c>
      <c r="N172" s="2" t="n">
        <v>762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43937</v>
      </c>
      <c r="C173" s="11" t="inlineStr">
        <is>
          <t>9</t>
        </is>
      </c>
      <c r="D173" s="9">
        <f>E173*16</f>
        <v/>
      </c>
      <c r="E173" s="9" t="n">
        <v>174.5</v>
      </c>
      <c r="F173" s="9" t="n">
        <v>3010</v>
      </c>
      <c r="G173" s="4" t="n">
        <v>0.7500599999999999</v>
      </c>
      <c r="H173" s="9" t="n">
        <v>540</v>
      </c>
      <c r="I173" s="4" t="n">
        <v>0.13456</v>
      </c>
      <c r="J173" s="9" t="n">
        <v>0</v>
      </c>
      <c r="K173" s="4" t="n">
        <v>0</v>
      </c>
      <c r="L173" s="2" t="n">
        <v>80</v>
      </c>
      <c r="M173" s="13">
        <f>L173/(N173+L173+J173+H173+F173)</f>
        <v/>
      </c>
      <c r="N173" s="2" t="n">
        <v>383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43935</v>
      </c>
      <c r="C174" s="11" t="inlineStr">
        <is>
          <t>9</t>
        </is>
      </c>
      <c r="D174" s="9">
        <f>E174*16</f>
        <v/>
      </c>
      <c r="E174" s="9" t="n">
        <v>100</v>
      </c>
      <c r="F174" s="9" t="n">
        <v>1900</v>
      </c>
      <c r="G174" s="4" t="n">
        <v>0.82394</v>
      </c>
      <c r="H174" s="9" t="n">
        <v>360</v>
      </c>
      <c r="I174" s="4" t="n">
        <v>0.15611</v>
      </c>
      <c r="J174" s="9" t="n">
        <v>0</v>
      </c>
      <c r="K174" s="4" t="n">
        <v>0</v>
      </c>
      <c r="L174" s="2" t="n">
        <v>46</v>
      </c>
      <c r="M174" s="13">
        <f>L174/(N174+L174+J174+H174+F174)</f>
        <v/>
      </c>
      <c r="N174" s="2" t="n">
        <v>0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43934</v>
      </c>
      <c r="C175" s="11" t="inlineStr">
        <is>
          <t>9</t>
        </is>
      </c>
      <c r="D175" s="9">
        <f>E175*16</f>
        <v/>
      </c>
      <c r="E175" s="9" t="n">
        <v>50</v>
      </c>
      <c r="F175" s="9" t="n">
        <v>1000</v>
      </c>
      <c r="G175" s="4" t="n">
        <v>0.86881</v>
      </c>
      <c r="H175" s="9" t="n">
        <v>128</v>
      </c>
      <c r="I175" s="4" t="n">
        <v>0.11121</v>
      </c>
      <c r="J175" s="9" t="n">
        <v>0</v>
      </c>
      <c r="K175" s="4" t="n">
        <v>0</v>
      </c>
      <c r="L175" s="2" t="n">
        <v>23</v>
      </c>
      <c r="M175" s="13">
        <f>L175/(N175+L175+J175+H175+F175)</f>
        <v/>
      </c>
      <c r="N175" s="2" t="n">
        <v>0</v>
      </c>
      <c r="O175" s="13">
        <f>N175/(N175+L175+J175+H175+F175)</f>
        <v/>
      </c>
    </row>
    <row r="176">
      <c r="A176" s="2" t="inlineStr">
        <is>
          <t>CARA-CARA</t>
        </is>
      </c>
      <c r="B176" s="6" t="n">
        <v>43881</v>
      </c>
      <c r="C176" s="11" t="inlineStr">
        <is>
          <t>9</t>
        </is>
      </c>
      <c r="D176" s="9">
        <f>E176*16</f>
        <v/>
      </c>
      <c r="E176" s="9" t="n">
        <v>200</v>
      </c>
      <c r="F176" s="9" t="n">
        <v>3420</v>
      </c>
      <c r="G176" s="4" t="n">
        <v>0.74348</v>
      </c>
      <c r="H176" s="9" t="n">
        <v>580</v>
      </c>
      <c r="I176" s="4" t="n">
        <v>0.12609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508</v>
      </c>
      <c r="O176" s="13">
        <f>N176/(N176+L176+J176+H176+F176)</f>
        <v/>
      </c>
    </row>
    <row r="177">
      <c r="A177" s="2" t="inlineStr">
        <is>
          <t>CARA-CARA</t>
        </is>
      </c>
      <c r="B177" s="6" t="n">
        <v>43847</v>
      </c>
      <c r="C177" s="11" t="inlineStr">
        <is>
          <t>9</t>
        </is>
      </c>
      <c r="D177" s="9">
        <f>E177*16</f>
        <v/>
      </c>
      <c r="E177" s="9" t="n">
        <v>100</v>
      </c>
      <c r="F177" s="9" t="n">
        <v>1820</v>
      </c>
      <c r="G177" s="4" t="n">
        <v>0.7913</v>
      </c>
      <c r="H177" s="9" t="n">
        <v>325</v>
      </c>
      <c r="I177" s="4" t="n">
        <v>0.1413</v>
      </c>
      <c r="J177" s="9" t="n">
        <v>0</v>
      </c>
      <c r="K177" s="4" t="n">
        <v>0</v>
      </c>
      <c r="L177" s="2" t="n">
        <v>46</v>
      </c>
      <c r="M177" s="13">
        <f>L177/(N177+L177+J177+H177+F177)</f>
        <v/>
      </c>
      <c r="N177" s="2" t="n">
        <v>109</v>
      </c>
      <c r="O177" s="13">
        <f>N177/(N177+L177+J177+H177+F177)</f>
        <v/>
      </c>
    </row>
    <row r="178">
      <c r="A178" s="2" t="inlineStr">
        <is>
          <t>NAVEL</t>
        </is>
      </c>
      <c r="B178" s="6" t="n">
        <v>43605</v>
      </c>
      <c r="C178" s="11" t="inlineStr">
        <is>
          <t>10</t>
        </is>
      </c>
      <c r="D178" s="9">
        <f>E178*16</f>
        <v/>
      </c>
      <c r="E178" s="9" t="n">
        <v>200</v>
      </c>
      <c r="F178" s="9" t="n">
        <v>2102</v>
      </c>
      <c r="G178" s="4" t="n">
        <v>0.45696</v>
      </c>
      <c r="H178" s="9" t="n">
        <v>973</v>
      </c>
      <c r="I178" s="4" t="n">
        <v>0.21152</v>
      </c>
      <c r="J178" s="9" t="n">
        <v>0</v>
      </c>
      <c r="K178" s="4" t="n">
        <v>0</v>
      </c>
      <c r="L178" s="2" t="n">
        <v>92</v>
      </c>
      <c r="M178" s="13">
        <f>L178/(N178+L178+J178+H178+F178)</f>
        <v/>
      </c>
      <c r="N178" s="2" t="n">
        <v>1433</v>
      </c>
      <c r="O178" s="13">
        <f>N178/(N178+L178+J178+H178+F178)</f>
        <v/>
      </c>
    </row>
    <row r="179">
      <c r="A179" s="2" t="inlineStr">
        <is>
          <t>NAVEL</t>
        </is>
      </c>
      <c r="B179" s="6" t="n">
        <v>43605</v>
      </c>
      <c r="C179" s="11" t="inlineStr">
        <is>
          <t>10</t>
        </is>
      </c>
      <c r="D179" s="9">
        <f>E179*16</f>
        <v/>
      </c>
      <c r="E179" s="9" t="n">
        <v>3</v>
      </c>
      <c r="F179" s="9" t="n">
        <v>30</v>
      </c>
      <c r="G179" s="4" t="n">
        <v>0.43478</v>
      </c>
      <c r="H179" s="9" t="n">
        <v>17</v>
      </c>
      <c r="I179" s="4" t="n">
        <v>0.24638</v>
      </c>
      <c r="J179" s="9" t="n">
        <v>0</v>
      </c>
      <c r="K179" s="4" t="n">
        <v>0</v>
      </c>
      <c r="L179" s="2" t="n">
        <v>1</v>
      </c>
      <c r="M179" s="13">
        <f>L179/(N179+L179+J179+H179+F179)</f>
        <v/>
      </c>
      <c r="N179" s="2" t="n">
        <v>21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43523</v>
      </c>
      <c r="C180" s="11" t="inlineStr">
        <is>
          <t>12</t>
        </is>
      </c>
      <c r="D180" s="9">
        <f>E180*16</f>
        <v/>
      </c>
      <c r="E180" s="9" t="n">
        <v>154.5</v>
      </c>
      <c r="F180" s="9" t="n">
        <v>1721</v>
      </c>
      <c r="G180" s="4" t="n">
        <v>0.5063299999999999</v>
      </c>
      <c r="H180" s="9" t="n">
        <v>555</v>
      </c>
      <c r="I180" s="4" t="n">
        <v>0.16328</v>
      </c>
      <c r="J180" s="9" t="n">
        <v>0</v>
      </c>
      <c r="K180" s="4" t="n">
        <v>0</v>
      </c>
      <c r="L180" s="2" t="n">
        <v>68</v>
      </c>
      <c r="M180" s="13">
        <f>L180/(N180+L180+J180+H180+F180)</f>
        <v/>
      </c>
      <c r="N180" s="2" t="n">
        <v>1055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43522</v>
      </c>
      <c r="C181" s="11" t="inlineStr">
        <is>
          <t>12</t>
        </is>
      </c>
      <c r="D181" s="9">
        <f>E181*16</f>
        <v/>
      </c>
      <c r="E181" s="9" t="n">
        <v>144</v>
      </c>
      <c r="F181" s="9" t="n">
        <v>1699</v>
      </c>
      <c r="G181" s="4" t="n">
        <v>0.5363</v>
      </c>
      <c r="H181" s="9" t="n">
        <v>595</v>
      </c>
      <c r="I181" s="4" t="n">
        <v>0.18782</v>
      </c>
      <c r="J181" s="9" t="n">
        <v>0</v>
      </c>
      <c r="K181" s="4" t="n">
        <v>0</v>
      </c>
      <c r="L181" s="2" t="n">
        <v>63</v>
      </c>
      <c r="M181" s="13">
        <f>L181/(N181+L181+J181+H181+F181)</f>
        <v/>
      </c>
      <c r="N181" s="2" t="n">
        <v>811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43428</v>
      </c>
      <c r="C182" s="11" t="inlineStr">
        <is>
          <t>12</t>
        </is>
      </c>
      <c r="D182" s="9">
        <f>E182*16</f>
        <v/>
      </c>
      <c r="E182" s="9" t="n">
        <v>60</v>
      </c>
      <c r="F182" s="9" t="n">
        <v>885</v>
      </c>
      <c r="G182" s="4" t="n">
        <v>0.67045</v>
      </c>
      <c r="H182" s="9" t="n">
        <v>239</v>
      </c>
      <c r="I182" s="4" t="n">
        <v>0.18106</v>
      </c>
      <c r="J182" s="9" t="n">
        <v>0</v>
      </c>
      <c r="K182" s="4" t="n">
        <v>0</v>
      </c>
      <c r="L182" s="2" t="n">
        <v>26</v>
      </c>
      <c r="M182" s="13">
        <f>L182/(N182+L182+J182+H182+F182)</f>
        <v/>
      </c>
      <c r="N182" s="2" t="n">
        <v>170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43425</v>
      </c>
      <c r="C183" s="11" t="inlineStr">
        <is>
          <t>12</t>
        </is>
      </c>
      <c r="D183" s="9">
        <f>E183*16</f>
        <v/>
      </c>
      <c r="E183" s="9" t="n">
        <v>29</v>
      </c>
      <c r="F183" s="9" t="n">
        <v>452</v>
      </c>
      <c r="G183" s="4" t="n">
        <v>0.70846</v>
      </c>
      <c r="H183" s="9" t="n">
        <v>123</v>
      </c>
      <c r="I183" s="4" t="n">
        <v>0.19279</v>
      </c>
      <c r="J183" s="9" t="n">
        <v>0</v>
      </c>
      <c r="K183" s="4" t="n">
        <v>0</v>
      </c>
      <c r="L183" s="2" t="n">
        <v>13</v>
      </c>
      <c r="M183" s="13">
        <f>L183/(N183+L183+J183+H183+F183)</f>
        <v/>
      </c>
      <c r="N183" s="2" t="n">
        <v>50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43424</v>
      </c>
      <c r="C184" s="11" t="inlineStr">
        <is>
          <t>12</t>
        </is>
      </c>
      <c r="D184" s="9">
        <f>E184*16</f>
        <v/>
      </c>
      <c r="E184" s="9" t="n">
        <v>32.75</v>
      </c>
      <c r="F184" s="9" t="n">
        <v>484</v>
      </c>
      <c r="G184" s="4" t="n">
        <v>0.67222</v>
      </c>
      <c r="H184" s="9" t="n">
        <v>138</v>
      </c>
      <c r="I184" s="4" t="n">
        <v>0.19167</v>
      </c>
      <c r="J184" s="9" t="n">
        <v>0</v>
      </c>
      <c r="K184" s="4" t="n">
        <v>0</v>
      </c>
      <c r="L184" s="2" t="n">
        <v>14</v>
      </c>
      <c r="M184" s="13">
        <f>L184/(N184+L184+J184+H184+F184)</f>
        <v/>
      </c>
      <c r="N184" s="2" t="n">
        <v>84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43423</v>
      </c>
      <c r="C185" s="11" t="inlineStr">
        <is>
          <t>12</t>
        </is>
      </c>
      <c r="D185" s="9">
        <f>E185*16</f>
        <v/>
      </c>
      <c r="E185" s="9" t="n">
        <v>64</v>
      </c>
      <c r="F185" s="9" t="n">
        <v>929</v>
      </c>
      <c r="G185" s="4" t="n">
        <v>0.6598000000000001</v>
      </c>
      <c r="H185" s="9" t="n">
        <v>255</v>
      </c>
      <c r="I185" s="4" t="n">
        <v>0.18111</v>
      </c>
      <c r="J185" s="9" t="n">
        <v>0</v>
      </c>
      <c r="K185" s="4" t="n">
        <v>0</v>
      </c>
      <c r="L185" s="2" t="n">
        <v>28</v>
      </c>
      <c r="M185" s="13">
        <f>L185/(N185+L185+J185+H185+F185)</f>
        <v/>
      </c>
      <c r="N185" s="2" t="n">
        <v>196</v>
      </c>
      <c r="O185" s="13">
        <f>N185/(N185+L185+J185+H185+F185)</f>
        <v/>
      </c>
    </row>
    <row r="186">
      <c r="A186" s="2" t="inlineStr">
        <is>
          <t>LEMONS</t>
        </is>
      </c>
      <c r="B186" s="6" t="n">
        <v>43385</v>
      </c>
      <c r="C186" s="11" t="inlineStr">
        <is>
          <t>12</t>
        </is>
      </c>
      <c r="D186" s="9">
        <f>E186*16</f>
        <v/>
      </c>
      <c r="E186" s="9" t="n">
        <v>83</v>
      </c>
      <c r="F186" s="9" t="n">
        <v>1148</v>
      </c>
      <c r="G186" s="4" t="n">
        <v>0.6287</v>
      </c>
      <c r="H186" s="9" t="n">
        <v>630</v>
      </c>
      <c r="I186" s="4" t="n">
        <v>0.34502</v>
      </c>
      <c r="J186" s="9" t="n">
        <v>0</v>
      </c>
      <c r="K186" s="4" t="n">
        <v>0</v>
      </c>
      <c r="L186" s="2" t="n">
        <v>37</v>
      </c>
      <c r="M186" s="13">
        <f>L186/(N186+L186+J186+H186+F186)</f>
        <v/>
      </c>
      <c r="N186" s="2" t="n">
        <v>11</v>
      </c>
      <c r="O186" s="13">
        <f>N186/(N186+L186+J186+H186+F186)</f>
        <v/>
      </c>
    </row>
    <row r="187">
      <c r="A187" s="2" t="inlineStr">
        <is>
          <t>LEMONS</t>
        </is>
      </c>
      <c r="B187" s="6" t="n">
        <v>43382</v>
      </c>
      <c r="C187" s="11" t="inlineStr">
        <is>
          <t>12</t>
        </is>
      </c>
      <c r="D187" s="9">
        <f>E187*16</f>
        <v/>
      </c>
      <c r="E187" s="9" t="n">
        <v>78</v>
      </c>
      <c r="F187" s="9" t="n">
        <v>894</v>
      </c>
      <c r="G187" s="4" t="n">
        <v>0.52098</v>
      </c>
      <c r="H187" s="9" t="n">
        <v>695</v>
      </c>
      <c r="I187" s="4" t="n">
        <v>0.40501</v>
      </c>
      <c r="J187" s="9" t="n">
        <v>0</v>
      </c>
      <c r="K187" s="4" t="n">
        <v>0</v>
      </c>
      <c r="L187" s="2" t="n">
        <v>34</v>
      </c>
      <c r="M187" s="13">
        <f>L187/(N187+L187+J187+H187+F187)</f>
        <v/>
      </c>
      <c r="N187" s="2" t="n">
        <v>93</v>
      </c>
      <c r="O187" s="13">
        <f>N187/(N187+L187+J187+H187+F187)</f>
        <v/>
      </c>
    </row>
    <row r="188">
      <c r="A188" s="2" t="inlineStr">
        <is>
          <t>CLEMENTINES</t>
        </is>
      </c>
      <c r="B188" s="6" t="n">
        <v>43470</v>
      </c>
      <c r="C188" s="11" t="inlineStr">
        <is>
          <t>2B</t>
        </is>
      </c>
      <c r="D188" s="9">
        <f>E188*16</f>
        <v/>
      </c>
      <c r="E188" s="9" t="n">
        <v>101</v>
      </c>
      <c r="F188" s="9" t="n">
        <v>13619</v>
      </c>
      <c r="G188" s="4" t="n">
        <v>0.77716</v>
      </c>
      <c r="H188" s="9" t="n">
        <v>0</v>
      </c>
      <c r="I188" s="4" t="n">
        <v>0</v>
      </c>
      <c r="J188" s="9" t="n">
        <v>0</v>
      </c>
      <c r="K188" s="4" t="n">
        <v>0</v>
      </c>
      <c r="L188" s="2" t="n">
        <v>350</v>
      </c>
      <c r="M188" s="13">
        <f>L188/(N188+L188+J188+H188+F188)</f>
        <v/>
      </c>
      <c r="N188" s="2" t="n">
        <v>3555</v>
      </c>
      <c r="O188" s="13">
        <f>N188/(N188+L188+J188+H188+F188)</f>
        <v/>
      </c>
    </row>
    <row r="189">
      <c r="A189" s="2" t="inlineStr">
        <is>
          <t>CLEMENTINES</t>
        </is>
      </c>
      <c r="B189" s="6" t="n">
        <v>43447</v>
      </c>
      <c r="C189" s="11" t="inlineStr">
        <is>
          <t>2B</t>
        </is>
      </c>
      <c r="D189" s="9">
        <f>E189*16</f>
        <v/>
      </c>
      <c r="E189" s="9" t="n">
        <v>96</v>
      </c>
      <c r="F189" s="9" t="n">
        <v>14681</v>
      </c>
      <c r="G189" s="4" t="n">
        <v>0.88142</v>
      </c>
      <c r="H189" s="9" t="n">
        <v>0</v>
      </c>
      <c r="I189" s="4" t="n">
        <v>0</v>
      </c>
      <c r="J189" s="9" t="n">
        <v>0</v>
      </c>
      <c r="K189" s="4" t="n">
        <v>0</v>
      </c>
      <c r="L189" s="2" t="n">
        <v>333</v>
      </c>
      <c r="M189" s="13">
        <f>L189/(N189+L189+J189+H189+F189)</f>
        <v/>
      </c>
      <c r="N189" s="2" t="n">
        <v>1642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43637</v>
      </c>
      <c r="C190" s="11" t="inlineStr">
        <is>
          <t>3</t>
        </is>
      </c>
      <c r="D190" s="9">
        <f>E190*16</f>
        <v/>
      </c>
      <c r="E190" s="9" t="n">
        <v>19</v>
      </c>
      <c r="F190" s="9" t="n">
        <v>126</v>
      </c>
      <c r="G190" s="4" t="n">
        <v>0.28833</v>
      </c>
      <c r="H190" s="9" t="n">
        <v>21</v>
      </c>
      <c r="I190" s="4" t="n">
        <v>0.04805</v>
      </c>
      <c r="J190" s="9" t="n">
        <v>0</v>
      </c>
      <c r="K190" s="4" t="n">
        <v>0</v>
      </c>
      <c r="L190" s="2" t="n">
        <v>9</v>
      </c>
      <c r="M190" s="13">
        <f>L190/(N190+L190+J190+H190+F190)</f>
        <v/>
      </c>
      <c r="N190" s="2" t="n">
        <v>281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43636</v>
      </c>
      <c r="C191" s="11" t="inlineStr">
        <is>
          <t>3</t>
        </is>
      </c>
      <c r="D191" s="9">
        <f>E191*16</f>
        <v/>
      </c>
      <c r="E191" s="9" t="n">
        <v>82</v>
      </c>
      <c r="F191" s="9" t="n">
        <v>637</v>
      </c>
      <c r="G191" s="4" t="n">
        <v>0.33775</v>
      </c>
      <c r="H191" s="9" t="n">
        <v>236</v>
      </c>
      <c r="I191" s="4" t="n">
        <v>0.12513</v>
      </c>
      <c r="J191" s="9" t="n">
        <v>0</v>
      </c>
      <c r="K191" s="4" t="n">
        <v>0</v>
      </c>
      <c r="L191" s="2" t="n">
        <v>38</v>
      </c>
      <c r="M191" s="13">
        <f>L191/(N191+L191+J191+H191+F191)</f>
        <v/>
      </c>
      <c r="N191" s="2" t="n">
        <v>975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43630</v>
      </c>
      <c r="C192" s="11" t="inlineStr">
        <is>
          <t>3</t>
        </is>
      </c>
      <c r="D192" s="9">
        <f>E192*16</f>
        <v/>
      </c>
      <c r="E192" s="9" t="n">
        <v>29</v>
      </c>
      <c r="F192" s="9" t="n">
        <v>272</v>
      </c>
      <c r="G192" s="4" t="n">
        <v>0.4078</v>
      </c>
      <c r="H192" s="9" t="n">
        <v>83</v>
      </c>
      <c r="I192" s="4" t="n">
        <v>0.12444</v>
      </c>
      <c r="J192" s="9" t="n">
        <v>0</v>
      </c>
      <c r="K192" s="4" t="n">
        <v>0</v>
      </c>
      <c r="L192" s="2" t="n">
        <v>13</v>
      </c>
      <c r="M192" s="13">
        <f>L192/(N192+L192+J192+H192+F192)</f>
        <v/>
      </c>
      <c r="N192" s="2" t="n">
        <v>299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43539</v>
      </c>
      <c r="C193" s="11" t="inlineStr">
        <is>
          <t>3</t>
        </is>
      </c>
      <c r="D193" s="9">
        <f>E193*16</f>
        <v/>
      </c>
      <c r="E193" s="9" t="n">
        <v>171</v>
      </c>
      <c r="F193" s="9" t="n">
        <v>959</v>
      </c>
      <c r="G193" s="4" t="n">
        <v>0.24383</v>
      </c>
      <c r="H193" s="9" t="n">
        <v>491</v>
      </c>
      <c r="I193" s="4" t="n">
        <v>0.12484</v>
      </c>
      <c r="J193" s="9" t="n">
        <v>0</v>
      </c>
      <c r="K193" s="4" t="n">
        <v>0</v>
      </c>
      <c r="L193" s="2" t="n">
        <v>79</v>
      </c>
      <c r="M193" s="13">
        <f>L193/(N193+L193+J193+H193+F193)</f>
        <v/>
      </c>
      <c r="N193" s="2" t="n">
        <v>2404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43537</v>
      </c>
      <c r="C194" s="11" t="inlineStr">
        <is>
          <t>3</t>
        </is>
      </c>
      <c r="D194" s="9">
        <f>E194*16</f>
        <v/>
      </c>
      <c r="E194" s="9" t="n">
        <v>137</v>
      </c>
      <c r="F194" s="9" t="n">
        <v>876</v>
      </c>
      <c r="G194" s="4" t="n">
        <v>0.27801</v>
      </c>
      <c r="H194" s="9" t="n">
        <v>257</v>
      </c>
      <c r="I194" s="4" t="n">
        <v>0.08155999999999999</v>
      </c>
      <c r="J194" s="9" t="n">
        <v>0</v>
      </c>
      <c r="K194" s="4" t="n">
        <v>0</v>
      </c>
      <c r="L194" s="2" t="n">
        <v>63</v>
      </c>
      <c r="M194" s="13">
        <f>L194/(N194+L194+J194+H194+F194)</f>
        <v/>
      </c>
      <c r="N194" s="2" t="n">
        <v>1955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43525</v>
      </c>
      <c r="C195" s="11" t="inlineStr">
        <is>
          <t>3</t>
        </is>
      </c>
      <c r="D195" s="9">
        <f>E195*16</f>
        <v/>
      </c>
      <c r="E195" s="9" t="n">
        <v>59</v>
      </c>
      <c r="F195" s="9" t="n">
        <v>612</v>
      </c>
      <c r="G195" s="4" t="n">
        <v>0.45099</v>
      </c>
      <c r="H195" s="9" t="n">
        <v>223</v>
      </c>
      <c r="I195" s="4" t="n">
        <v>0.16433</v>
      </c>
      <c r="J195" s="9" t="n">
        <v>0</v>
      </c>
      <c r="K195" s="4" t="n">
        <v>0</v>
      </c>
      <c r="L195" s="2" t="n">
        <v>27</v>
      </c>
      <c r="M195" s="13">
        <f>L195/(N195+L195+J195+H195+F195)</f>
        <v/>
      </c>
      <c r="N195" s="2" t="n">
        <v>495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43524</v>
      </c>
      <c r="C196" s="11" t="inlineStr">
        <is>
          <t>3</t>
        </is>
      </c>
      <c r="D196" s="9">
        <f>E196*16</f>
        <v/>
      </c>
      <c r="E196" s="9" t="n">
        <v>86</v>
      </c>
      <c r="F196" s="9" t="n">
        <v>840</v>
      </c>
      <c r="G196" s="4" t="n">
        <v>0.42467</v>
      </c>
      <c r="H196" s="9" t="n">
        <v>436</v>
      </c>
      <c r="I196" s="4" t="n">
        <v>0.22042</v>
      </c>
      <c r="J196" s="9" t="n">
        <v>0</v>
      </c>
      <c r="K196" s="4" t="n">
        <v>0</v>
      </c>
      <c r="L196" s="2" t="n">
        <v>40</v>
      </c>
      <c r="M196" s="13">
        <f>L196/(N196+L196+J196+H196+F196)</f>
        <v/>
      </c>
      <c r="N196" s="2" t="n">
        <v>662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43654</v>
      </c>
      <c r="C197" s="11" t="inlineStr">
        <is>
          <t>8</t>
        </is>
      </c>
      <c r="D197" s="9">
        <f>E197*16</f>
        <v/>
      </c>
      <c r="E197" s="9" t="n">
        <v>87</v>
      </c>
      <c r="F197" s="9" t="n">
        <v>501</v>
      </c>
      <c r="G197" s="4" t="n">
        <v>0.25037</v>
      </c>
      <c r="H197" s="9" t="n">
        <v>501</v>
      </c>
      <c r="I197" s="4" t="n">
        <v>0.25037</v>
      </c>
      <c r="J197" s="9" t="n">
        <v>0</v>
      </c>
      <c r="K197" s="4" t="n">
        <v>0</v>
      </c>
      <c r="L197" s="2" t="n">
        <v>40</v>
      </c>
      <c r="M197" s="13">
        <f>L197/(N197+L197+J197+H197+F197)</f>
        <v/>
      </c>
      <c r="N197" s="2" t="n">
        <v>959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43652</v>
      </c>
      <c r="C198" s="11" t="inlineStr">
        <is>
          <t>8</t>
        </is>
      </c>
      <c r="D198" s="9">
        <f>E198*16</f>
        <v/>
      </c>
      <c r="E198" s="9" t="n">
        <v>250</v>
      </c>
      <c r="F198" s="9" t="n">
        <v>1440</v>
      </c>
      <c r="G198" s="4" t="n">
        <v>0.25043</v>
      </c>
      <c r="H198" s="9" t="n">
        <v>1440</v>
      </c>
      <c r="I198" s="4" t="n">
        <v>0.25043</v>
      </c>
      <c r="J198" s="9" t="n">
        <v>0</v>
      </c>
      <c r="K198" s="4" t="n">
        <v>0</v>
      </c>
      <c r="L198" s="2" t="n">
        <v>115</v>
      </c>
      <c r="M198" s="13">
        <f>L198/(N198+L198+J198+H198+F198)</f>
        <v/>
      </c>
      <c r="N198" s="2" t="n">
        <v>2755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43651</v>
      </c>
      <c r="C199" s="11" t="inlineStr">
        <is>
          <t>8</t>
        </is>
      </c>
      <c r="D199" s="9">
        <f>E199*16</f>
        <v/>
      </c>
      <c r="E199" s="9" t="n">
        <v>211</v>
      </c>
      <c r="F199" s="9" t="n">
        <v>1112</v>
      </c>
      <c r="G199" s="4" t="n">
        <v>0.22914</v>
      </c>
      <c r="H199" s="9" t="n">
        <v>1710</v>
      </c>
      <c r="I199" s="4" t="n">
        <v>0.35236</v>
      </c>
      <c r="J199" s="9" t="n">
        <v>0</v>
      </c>
      <c r="K199" s="4" t="n">
        <v>0</v>
      </c>
      <c r="L199" s="2" t="n">
        <v>97</v>
      </c>
      <c r="M199" s="13">
        <f>L199/(N199+L199+J199+H199+F199)</f>
        <v/>
      </c>
      <c r="N199" s="2" t="n">
        <v>1934</v>
      </c>
      <c r="O199" s="13">
        <f>N199/(N199+L199+J199+H199+F199)</f>
        <v/>
      </c>
    </row>
    <row r="200">
      <c r="A200" s="2" t="inlineStr">
        <is>
          <t>NAVEL</t>
        </is>
      </c>
      <c r="B200" s="6" t="n">
        <v>43580</v>
      </c>
      <c r="C200" s="11" t="inlineStr">
        <is>
          <t>8</t>
        </is>
      </c>
      <c r="D200" s="9">
        <f>E200*16</f>
        <v/>
      </c>
      <c r="E200" s="9" t="n">
        <v>29</v>
      </c>
      <c r="F200" s="9" t="n">
        <v>549</v>
      </c>
      <c r="G200" s="4" t="n">
        <v>0.82309</v>
      </c>
      <c r="H200" s="9" t="n">
        <v>75</v>
      </c>
      <c r="I200" s="4" t="n">
        <v>0.11244</v>
      </c>
      <c r="J200" s="9" t="n">
        <v>0</v>
      </c>
      <c r="K200" s="4" t="n">
        <v>0</v>
      </c>
      <c r="L200" s="2" t="n">
        <v>13</v>
      </c>
      <c r="M200" s="13">
        <f>L200/(N200+L200+J200+H200+F200)</f>
        <v/>
      </c>
      <c r="N200" s="2" t="n">
        <v>30</v>
      </c>
      <c r="O200" s="13">
        <f>N200/(N200+L200+J200+H200+F200)</f>
        <v/>
      </c>
    </row>
    <row r="201">
      <c r="A201" s="2" t="inlineStr">
        <is>
          <t>NAVEL</t>
        </is>
      </c>
      <c r="B201" s="6" t="n">
        <v>43579</v>
      </c>
      <c r="C201" s="11" t="inlineStr">
        <is>
          <t>8</t>
        </is>
      </c>
      <c r="D201" s="9">
        <f>E201*16</f>
        <v/>
      </c>
      <c r="E201" s="9" t="n">
        <v>147</v>
      </c>
      <c r="F201" s="9" t="n">
        <v>2624</v>
      </c>
      <c r="G201" s="4" t="n">
        <v>0.7761</v>
      </c>
      <c r="H201" s="9" t="n">
        <v>459</v>
      </c>
      <c r="I201" s="4" t="n">
        <v>0.13576</v>
      </c>
      <c r="J201" s="9" t="n">
        <v>0</v>
      </c>
      <c r="K201" s="4" t="n">
        <v>0</v>
      </c>
      <c r="L201" s="2" t="n">
        <v>68</v>
      </c>
      <c r="M201" s="13">
        <f>L201/(N201+L201+J201+H201+F201)</f>
        <v/>
      </c>
      <c r="N201" s="2" t="n">
        <v>230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43570</v>
      </c>
      <c r="C202" s="11" t="inlineStr">
        <is>
          <t>9</t>
        </is>
      </c>
      <c r="D202" s="9">
        <f>E202*16</f>
        <v/>
      </c>
      <c r="E202" s="9" t="n">
        <v>178</v>
      </c>
      <c r="F202" s="9" t="n">
        <v>3279</v>
      </c>
      <c r="G202" s="4" t="n">
        <v>0.80093</v>
      </c>
      <c r="H202" s="9" t="n">
        <v>393</v>
      </c>
      <c r="I202" s="4" t="n">
        <v>0.09599000000000001</v>
      </c>
      <c r="J202" s="9" t="n">
        <v>0</v>
      </c>
      <c r="K202" s="4" t="n">
        <v>0</v>
      </c>
      <c r="L202" s="2" t="n">
        <v>82</v>
      </c>
      <c r="M202" s="13">
        <f>L202/(N202+L202+J202+H202+F202)</f>
        <v/>
      </c>
      <c r="N202" s="2" t="n">
        <v>340</v>
      </c>
      <c r="O202" s="13">
        <f>N202/(N202+L202+J202+H202+F202)</f>
        <v/>
      </c>
    </row>
    <row r="203">
      <c r="A203" s="2" t="inlineStr">
        <is>
          <t>CARA-CARA</t>
        </is>
      </c>
      <c r="B203" s="6" t="n">
        <v>43540</v>
      </c>
      <c r="C203" s="11" t="inlineStr">
        <is>
          <t>9</t>
        </is>
      </c>
      <c r="D203" s="9">
        <f>E203*16</f>
        <v/>
      </c>
      <c r="E203" s="9" t="n">
        <v>100</v>
      </c>
      <c r="F203" s="9" t="n">
        <v>1890</v>
      </c>
      <c r="G203" s="4" t="n">
        <v>0.82174</v>
      </c>
      <c r="H203" s="9" t="n">
        <v>232</v>
      </c>
      <c r="I203" s="4" t="n">
        <v>0.10087</v>
      </c>
      <c r="J203" s="9" t="n">
        <v>0</v>
      </c>
      <c r="K203" s="4" t="n">
        <v>0</v>
      </c>
      <c r="L203" s="2" t="n">
        <v>46</v>
      </c>
      <c r="M203" s="13">
        <f>L203/(N203+L203+J203+H203+F203)</f>
        <v/>
      </c>
      <c r="N203" s="2" t="n">
        <v>132</v>
      </c>
      <c r="O203" s="13">
        <f>N203/(N203+L203+J203+H203+F203)</f>
        <v/>
      </c>
    </row>
    <row r="204">
      <c r="A204" s="2" t="inlineStr">
        <is>
          <t>CARA-CARA</t>
        </is>
      </c>
      <c r="B204" s="6" t="n">
        <v>43519</v>
      </c>
      <c r="C204" s="11" t="inlineStr">
        <is>
          <t>9</t>
        </is>
      </c>
      <c r="D204" s="9">
        <f>E204*16</f>
        <v/>
      </c>
      <c r="E204" s="9" t="n">
        <v>200</v>
      </c>
      <c r="F204" s="9" t="n">
        <v>3861</v>
      </c>
      <c r="G204" s="4" t="n">
        <v>0.83935</v>
      </c>
      <c r="H204" s="9" t="n">
        <v>496</v>
      </c>
      <c r="I204" s="4" t="n">
        <v>0.10783</v>
      </c>
      <c r="J204" s="9" t="n">
        <v>0</v>
      </c>
      <c r="K204" s="4" t="n">
        <v>0</v>
      </c>
      <c r="L204" s="2" t="n">
        <v>92</v>
      </c>
      <c r="M204" s="13">
        <f>L204/(N204+L204+J204+H204+F204)</f>
        <v/>
      </c>
      <c r="N204" s="2" t="n">
        <v>151</v>
      </c>
      <c r="O204" s="13">
        <f>N204/(N204+L204+J204+H204+F204)</f>
        <v/>
      </c>
    </row>
    <row r="205">
      <c r="A205" s="2" t="inlineStr">
        <is>
          <t>NAVEL</t>
        </is>
      </c>
      <c r="B205" s="6" t="n">
        <v>43221</v>
      </c>
      <c r="C205" s="11" t="inlineStr">
        <is>
          <t>10</t>
        </is>
      </c>
      <c r="D205" s="9">
        <f>E205*16</f>
        <v/>
      </c>
      <c r="E205" s="9" t="n">
        <v>114</v>
      </c>
      <c r="F205" s="9" t="n">
        <v>1542</v>
      </c>
      <c r="G205" s="4" t="n">
        <v>0.5881</v>
      </c>
      <c r="H205" s="9" t="n">
        <v>491</v>
      </c>
      <c r="I205" s="4" t="n">
        <v>0.18726</v>
      </c>
      <c r="J205" s="9" t="n">
        <v>0</v>
      </c>
      <c r="K205" s="4" t="n">
        <v>0</v>
      </c>
      <c r="L205" s="2" t="n">
        <v>52</v>
      </c>
      <c r="M205" s="13">
        <f>L205/(N205+L205+J205+H205+F205)</f>
        <v/>
      </c>
      <c r="N205" s="2" t="n">
        <v>537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43192</v>
      </c>
      <c r="C206" s="11" t="inlineStr">
        <is>
          <t>12</t>
        </is>
      </c>
      <c r="D206" s="9">
        <f>E206*16</f>
        <v/>
      </c>
      <c r="E206" s="9" t="n">
        <v>300</v>
      </c>
      <c r="F206" s="9" t="n">
        <v>2164</v>
      </c>
      <c r="G206" s="4" t="n">
        <v>0.32788</v>
      </c>
      <c r="H206" s="9" t="n">
        <v>1286</v>
      </c>
      <c r="I206" s="4" t="n">
        <v>0.19485</v>
      </c>
      <c r="J206" s="9" t="n">
        <v>0</v>
      </c>
      <c r="K206" s="4" t="n">
        <v>0</v>
      </c>
      <c r="L206" s="2" t="n">
        <v>132</v>
      </c>
      <c r="M206" s="13">
        <f>L206/(N206+L206+J206+H206+F206)</f>
        <v/>
      </c>
      <c r="N206" s="2" t="n">
        <v>3018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43171</v>
      </c>
      <c r="C207" s="11" t="inlineStr">
        <is>
          <t>12</t>
        </is>
      </c>
      <c r="D207" s="9">
        <f>E207*16</f>
        <v/>
      </c>
      <c r="E207" s="9" t="n">
        <v>35</v>
      </c>
      <c r="F207" s="9" t="n">
        <v>361</v>
      </c>
      <c r="G207" s="4" t="n">
        <v>0.46883</v>
      </c>
      <c r="H207" s="9" t="n">
        <v>188</v>
      </c>
      <c r="I207" s="4" t="n">
        <v>0.24416</v>
      </c>
      <c r="J207" s="9" t="n">
        <v>0</v>
      </c>
      <c r="K207" s="4" t="n">
        <v>0</v>
      </c>
      <c r="L207" s="2" t="n">
        <v>15</v>
      </c>
      <c r="M207" s="13">
        <f>L207/(N207+L207+J207+H207+F207)</f>
        <v/>
      </c>
      <c r="N207" s="2" t="n">
        <v>206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43104</v>
      </c>
      <c r="C208" s="11" t="inlineStr">
        <is>
          <t>12</t>
        </is>
      </c>
      <c r="D208" s="9">
        <f>E208*16</f>
        <v/>
      </c>
      <c r="E208" s="9" t="n">
        <v>119</v>
      </c>
      <c r="F208" s="9" t="n">
        <v>1352</v>
      </c>
      <c r="G208" s="4" t="n">
        <v>0.51642</v>
      </c>
      <c r="H208" s="9" t="n">
        <v>892</v>
      </c>
      <c r="I208" s="4" t="n">
        <v>0.34072</v>
      </c>
      <c r="J208" s="9" t="n">
        <v>0</v>
      </c>
      <c r="K208" s="4" t="n">
        <v>0</v>
      </c>
      <c r="L208" s="2" t="n">
        <v>52</v>
      </c>
      <c r="M208" s="13">
        <f>L208/(N208+L208+J208+H208+F208)</f>
        <v/>
      </c>
      <c r="N208" s="2" t="n">
        <v>322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43103</v>
      </c>
      <c r="C209" s="11" t="inlineStr">
        <is>
          <t>12</t>
        </is>
      </c>
      <c r="D209" s="9">
        <f>E209*16</f>
        <v/>
      </c>
      <c r="E209" s="9" t="n">
        <v>96</v>
      </c>
      <c r="F209" s="9" t="n">
        <v>1229</v>
      </c>
      <c r="G209" s="4" t="n">
        <v>0.58191</v>
      </c>
      <c r="H209" s="9" t="n">
        <v>614</v>
      </c>
      <c r="I209" s="4" t="n">
        <v>0.29072</v>
      </c>
      <c r="J209" s="9" t="n">
        <v>0</v>
      </c>
      <c r="K209" s="4" t="n">
        <v>0</v>
      </c>
      <c r="L209" s="2" t="n">
        <v>42</v>
      </c>
      <c r="M209" s="13">
        <f>L209/(N209+L209+J209+H209+F209)</f>
        <v/>
      </c>
      <c r="N209" s="2" t="n">
        <v>227</v>
      </c>
      <c r="O209" s="13">
        <f>N209/(N209+L209+J209+H209+F209)</f>
        <v/>
      </c>
    </row>
    <row r="210">
      <c r="A210" s="2" t="inlineStr">
        <is>
          <t>LEMONS</t>
        </is>
      </c>
      <c r="B210" s="6" t="n">
        <v>43059</v>
      </c>
      <c r="C210" s="11" t="inlineStr">
        <is>
          <t>12</t>
        </is>
      </c>
      <c r="D210" s="9">
        <f>E210*16</f>
        <v/>
      </c>
      <c r="E210" s="9" t="n">
        <v>172</v>
      </c>
      <c r="F210" s="9" t="n">
        <v>2683</v>
      </c>
      <c r="G210" s="4" t="n">
        <v>0.70904</v>
      </c>
      <c r="H210" s="9" t="n">
        <v>966</v>
      </c>
      <c r="I210" s="4" t="n">
        <v>0.25529</v>
      </c>
      <c r="J210" s="9" t="n">
        <v>0</v>
      </c>
      <c r="K210" s="4" t="n">
        <v>0</v>
      </c>
      <c r="L210" s="2" t="n">
        <v>76</v>
      </c>
      <c r="M210" s="13">
        <f>L210/(N210+L210+J210+H210+F210)</f>
        <v/>
      </c>
      <c r="N210" s="2" t="n">
        <v>59</v>
      </c>
      <c r="O210" s="13">
        <f>N210/(N210+L210+J210+H210+F210)</f>
        <v/>
      </c>
    </row>
    <row r="211">
      <c r="A211" s="2" t="inlineStr">
        <is>
          <t>LEMONS</t>
        </is>
      </c>
      <c r="B211" s="6" t="n">
        <v>43056</v>
      </c>
      <c r="C211" s="11" t="inlineStr">
        <is>
          <t>12</t>
        </is>
      </c>
      <c r="D211" s="9">
        <f>E211*16</f>
        <v/>
      </c>
      <c r="E211" s="9" t="n">
        <v>98</v>
      </c>
      <c r="F211" s="9" t="n">
        <v>1642</v>
      </c>
      <c r="G211" s="4" t="n">
        <v>0.7616000000000001</v>
      </c>
      <c r="H211" s="9" t="n">
        <v>358</v>
      </c>
      <c r="I211" s="4" t="n">
        <v>0.16605</v>
      </c>
      <c r="J211" s="9" t="n">
        <v>0</v>
      </c>
      <c r="K211" s="4" t="n">
        <v>0</v>
      </c>
      <c r="L211" s="2" t="n">
        <v>43</v>
      </c>
      <c r="M211" s="13">
        <f>L211/(N211+L211+J211+H211+F211)</f>
        <v/>
      </c>
      <c r="N211" s="2" t="n">
        <v>113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43153</v>
      </c>
      <c r="C212" s="11" t="inlineStr">
        <is>
          <t>3</t>
        </is>
      </c>
      <c r="D212" s="9">
        <f>E212*16</f>
        <v/>
      </c>
      <c r="E212" s="9" t="n">
        <v>161.25</v>
      </c>
      <c r="F212" s="9" t="n">
        <v>2717</v>
      </c>
      <c r="G212" s="4" t="n">
        <v>0.73254</v>
      </c>
      <c r="H212" s="9" t="n">
        <v>525</v>
      </c>
      <c r="I212" s="4" t="n">
        <v>0.14155</v>
      </c>
      <c r="J212" s="9" t="n">
        <v>0</v>
      </c>
      <c r="K212" s="4" t="n">
        <v>0</v>
      </c>
      <c r="L212" s="2" t="n">
        <v>74</v>
      </c>
      <c r="M212" s="13">
        <f>L212/(N212+L212+J212+H212+F212)</f>
        <v/>
      </c>
      <c r="N212" s="2" t="n">
        <v>393</v>
      </c>
      <c r="O212" s="13">
        <f>N212/(N212+L212+J212+H212+F212)</f>
        <v/>
      </c>
    </row>
    <row r="213">
      <c r="A213" s="2" t="inlineStr">
        <is>
          <t>NAVEL</t>
        </is>
      </c>
      <c r="B213" s="6" t="n">
        <v>43152</v>
      </c>
      <c r="C213" s="11" t="inlineStr">
        <is>
          <t>3</t>
        </is>
      </c>
      <c r="D213" s="9">
        <f>E213*16</f>
        <v/>
      </c>
      <c r="E213" s="9" t="n">
        <v>300</v>
      </c>
      <c r="F213" s="9" t="n">
        <v>4056</v>
      </c>
      <c r="G213" s="4" t="n">
        <v>0.58783</v>
      </c>
      <c r="H213" s="9" t="n">
        <v>1881</v>
      </c>
      <c r="I213" s="4" t="n">
        <v>0.27261</v>
      </c>
      <c r="J213" s="9" t="n">
        <v>0</v>
      </c>
      <c r="K213" s="4" t="n">
        <v>0</v>
      </c>
      <c r="L213" s="2" t="n">
        <v>138</v>
      </c>
      <c r="M213" s="13">
        <f>L213/(N213+L213+J213+H213+F213)</f>
        <v/>
      </c>
      <c r="N213" s="2" t="n">
        <v>825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43152</v>
      </c>
      <c r="C214" s="11" t="inlineStr">
        <is>
          <t>3</t>
        </is>
      </c>
      <c r="D214" s="9">
        <f>E214*16</f>
        <v/>
      </c>
      <c r="E214" s="9" t="n">
        <v>100</v>
      </c>
      <c r="F214" s="9" t="n">
        <v>1649</v>
      </c>
      <c r="G214" s="4" t="n">
        <v>0.71696</v>
      </c>
      <c r="H214" s="9" t="n">
        <v>272</v>
      </c>
      <c r="I214" s="4" t="n">
        <v>0.11826</v>
      </c>
      <c r="J214" s="9" t="n">
        <v>0</v>
      </c>
      <c r="K214" s="4" t="n">
        <v>0</v>
      </c>
      <c r="L214" s="2" t="n">
        <v>46</v>
      </c>
      <c r="M214" s="13">
        <f>L214/(N214+L214+J214+H214+F214)</f>
        <v/>
      </c>
      <c r="N214" s="2" t="n">
        <v>333</v>
      </c>
      <c r="O214" s="13">
        <f>N214/(N214+L214+J214+H214+F214)</f>
        <v/>
      </c>
    </row>
    <row r="215">
      <c r="A215" s="2" t="inlineStr">
        <is>
          <t>VALENCIA</t>
        </is>
      </c>
      <c r="B215" s="6" t="n">
        <v>43368</v>
      </c>
      <c r="C215" s="11" t="inlineStr">
        <is>
          <t>5</t>
        </is>
      </c>
      <c r="D215" s="9">
        <f>E215*16</f>
        <v/>
      </c>
      <c r="E215" s="9" t="n">
        <v>186</v>
      </c>
      <c r="F215" s="9" t="n">
        <v>2533</v>
      </c>
      <c r="G215" s="4" t="n">
        <v>0.5921</v>
      </c>
      <c r="H215" s="9" t="n">
        <v>465</v>
      </c>
      <c r="I215" s="4" t="n">
        <v>0.1087</v>
      </c>
      <c r="J215" s="9" t="n">
        <v>0</v>
      </c>
      <c r="K215" s="4" t="n">
        <v>0</v>
      </c>
      <c r="L215" s="2" t="n">
        <v>0</v>
      </c>
      <c r="M215" s="13">
        <f>L215/(N215+L215+J215+H215+F215)</f>
        <v/>
      </c>
      <c r="N215" s="2" t="n">
        <v>1280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43229</v>
      </c>
      <c r="C216" s="11" t="inlineStr">
        <is>
          <t>8</t>
        </is>
      </c>
      <c r="D216" s="9">
        <f>E216*16</f>
        <v/>
      </c>
      <c r="E216" s="9" t="n">
        <v>318</v>
      </c>
      <c r="F216" s="9" t="n">
        <v>4228</v>
      </c>
      <c r="G216" s="4" t="n">
        <v>0.57807</v>
      </c>
      <c r="H216" s="9" t="n">
        <v>2370</v>
      </c>
      <c r="I216" s="4" t="n">
        <v>0.32404</v>
      </c>
      <c r="J216" s="9" t="n">
        <v>0</v>
      </c>
      <c r="K216" s="4" t="n">
        <v>0</v>
      </c>
      <c r="L216" s="2" t="n">
        <v>146</v>
      </c>
      <c r="M216" s="13">
        <f>L216/(N216+L216+J216+H216+F216)</f>
        <v/>
      </c>
      <c r="N216" s="2" t="n">
        <v>570</v>
      </c>
      <c r="O216" s="13">
        <f>N216/(N216+L216+J216+H216+F216)</f>
        <v/>
      </c>
    </row>
    <row r="217">
      <c r="A217" s="2" t="inlineStr">
        <is>
          <t>NAVEL</t>
        </is>
      </c>
      <c r="B217" s="6" t="n">
        <v>43227</v>
      </c>
      <c r="C217" s="11" t="inlineStr">
        <is>
          <t>8</t>
        </is>
      </c>
      <c r="D217" s="9">
        <f>E217*16</f>
        <v/>
      </c>
      <c r="E217" s="9" t="n">
        <v>250</v>
      </c>
      <c r="F217" s="9" t="n">
        <v>3831</v>
      </c>
      <c r="G217" s="4" t="n">
        <v>0.66626</v>
      </c>
      <c r="H217" s="9" t="n">
        <v>1558</v>
      </c>
      <c r="I217" s="4" t="n">
        <v>0.27096</v>
      </c>
      <c r="J217" s="9" t="n">
        <v>0</v>
      </c>
      <c r="K217" s="4" t="n">
        <v>0</v>
      </c>
      <c r="L217" s="2" t="n">
        <v>115</v>
      </c>
      <c r="M217" s="13">
        <f>L217/(N217+L217+J217+H217+F217)</f>
        <v/>
      </c>
      <c r="N217" s="2" t="n">
        <v>246</v>
      </c>
      <c r="O217" s="13">
        <f>N217/(N217+L217+J217+H217+F217)</f>
        <v/>
      </c>
    </row>
    <row r="218">
      <c r="A218" s="2" t="inlineStr">
        <is>
          <t>NAVEL</t>
        </is>
      </c>
      <c r="B218" s="6" t="n">
        <v>43222</v>
      </c>
      <c r="C218" s="11" t="inlineStr">
        <is>
          <t>8</t>
        </is>
      </c>
      <c r="D218" s="9">
        <f>E218*16</f>
        <v/>
      </c>
      <c r="E218" s="9" t="n">
        <v>100</v>
      </c>
      <c r="F218" s="9" t="n">
        <v>1449</v>
      </c>
      <c r="G218" s="4" t="n">
        <v>0.63</v>
      </c>
      <c r="H218" s="9" t="n">
        <v>552</v>
      </c>
      <c r="I218" s="4" t="n">
        <v>0.24</v>
      </c>
      <c r="J218" s="9" t="n">
        <v>0</v>
      </c>
      <c r="K218" s="4" t="n">
        <v>0</v>
      </c>
      <c r="L218" s="2" t="n">
        <v>46</v>
      </c>
      <c r="M218" s="13">
        <f>L218/(N218+L218+J218+H218+F218)</f>
        <v/>
      </c>
      <c r="N218" s="2" t="n">
        <v>253</v>
      </c>
      <c r="O218" s="13">
        <f>N218/(N218+L218+J218+H218+F218)</f>
        <v/>
      </c>
    </row>
    <row r="219">
      <c r="A219" s="2" t="inlineStr">
        <is>
          <t>CARA-CARA</t>
        </is>
      </c>
      <c r="B219" s="6" t="n">
        <v>43119</v>
      </c>
      <c r="C219" s="11" t="inlineStr">
        <is>
          <t>9</t>
        </is>
      </c>
      <c r="D219" s="9">
        <f>E219*16</f>
        <v/>
      </c>
      <c r="E219" s="9" t="n">
        <v>100</v>
      </c>
      <c r="F219" s="9" t="n">
        <v>2114</v>
      </c>
      <c r="G219" s="4" t="n">
        <v>0.91913</v>
      </c>
      <c r="H219" s="9" t="n">
        <v>0</v>
      </c>
      <c r="I219" s="4" t="n">
        <v>0</v>
      </c>
      <c r="J219" s="9" t="n">
        <v>0</v>
      </c>
      <c r="K219" s="4" t="n">
        <v>0</v>
      </c>
      <c r="L219" s="2" t="n">
        <v>46</v>
      </c>
      <c r="M219" s="13">
        <f>L219/(N219+L219+J219+H219+F219)</f>
        <v/>
      </c>
      <c r="N219" s="2" t="n">
        <v>140</v>
      </c>
      <c r="O219" s="13">
        <f>N219/(N219+L219+J219+H219+F219)</f>
        <v/>
      </c>
    </row>
    <row r="220">
      <c r="A220" s="2" t="inlineStr">
        <is>
          <t>CARA-CARA</t>
        </is>
      </c>
      <c r="B220" s="6" t="n">
        <v>43125</v>
      </c>
      <c r="C220" s="11" t="inlineStr">
        <is>
          <t>9</t>
        </is>
      </c>
      <c r="D220" s="9">
        <f>E220*16</f>
        <v/>
      </c>
      <c r="E220" s="9" t="n">
        <v>105</v>
      </c>
      <c r="F220" s="9" t="n">
        <v>2206</v>
      </c>
      <c r="G220" s="4" t="n">
        <v>0.91346</v>
      </c>
      <c r="H220" s="9" t="n">
        <v>0</v>
      </c>
      <c r="I220" s="4" t="n">
        <v>0</v>
      </c>
      <c r="J220" s="9" t="n">
        <v>0</v>
      </c>
      <c r="K220" s="4" t="n">
        <v>0</v>
      </c>
      <c r="L220" s="2" t="n">
        <v>48</v>
      </c>
      <c r="M220" s="13">
        <f>L220/(N220+L220+J220+H220+F220)</f>
        <v/>
      </c>
      <c r="N220" s="2" t="n">
        <v>161</v>
      </c>
      <c r="O220" s="13">
        <f>N220/(N220+L220+J220+H220+F220)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2026-08-26T00:46:33Z</dcterms:modified>
  <cp:lastModifiedBy>Meagan Slater</cp:lastModifiedBy>
</cp:coreProperties>
</file>