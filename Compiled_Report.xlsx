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 t="n">
        <v>336</v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 t="n">
        <v>800</v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 t="n">
        <v>800</v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 t="n">
        <v>800</v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 t="n">
        <v>800</v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 t="n">
        <v>288</v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 t="n">
        <v>768</v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 t="n">
        <v>768</v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 t="n">
        <v>704</v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 t="n">
        <v>480</v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 t="n">
        <v>768</v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 t="n">
        <v>688</v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 t="n">
        <v>112</v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 t="n">
        <v>800</v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 t="n">
        <v>552</v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 t="n">
        <v>800</v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 t="n">
        <v>800</v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 t="n">
        <v>800</v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 t="n">
        <v>800</v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 t="n">
        <v>800</v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 t="n">
        <v>800</v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 t="n">
        <v>768</v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 t="n">
        <v>28.32</v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 t="n">
        <v>704</v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 t="n">
        <v>800</v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 t="n">
        <v>96</v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 t="n">
        <v>800</v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 t="n">
        <v>800</v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 t="n">
        <v>800</v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 t="n">
        <v>800</v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 t="n">
        <v>800</v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 t="n">
        <v>800</v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 t="n">
        <v>800</v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 t="n">
        <v>800</v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 t="n">
        <v>800</v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 t="n">
        <v>800</v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 t="n">
        <v>800</v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 t="n">
        <v>1392</v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 t="n">
        <v>1232</v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 t="n">
        <v>2400</v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 t="n">
        <v>2400</v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 t="n">
        <v>2400</v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 t="n">
        <v>2400</v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 t="n">
        <v>768</v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 t="n">
        <v>768</v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 t="n">
        <v>768</v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 t="n">
        <v>800</v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 t="n">
        <v>800</v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 t="n">
        <v>800</v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 t="n">
        <v>800</v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 t="n">
        <v>800</v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 t="n">
        <v>800</v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 t="n">
        <v>800</v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 t="n">
        <v>800</v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 t="n">
        <v>800</v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 t="n">
        <v>800</v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 t="n">
        <v>800</v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 t="n">
        <v>800</v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 t="n">
        <v>800</v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 t="n">
        <v>800</v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 t="n">
        <v>800</v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 t="n">
        <v>544</v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 t="n">
        <v>800</v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 t="n">
        <v>800</v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 t="n">
        <v>480</v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 t="n">
        <v>736</v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 t="n">
        <v>352</v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 t="n">
        <v>464</v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 t="n">
        <v>768</v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 t="n">
        <v>800</v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 t="n">
        <v>128</v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 t="n">
        <v>768</v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 t="n">
        <v>624</v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 t="n">
        <v>264</v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 t="n">
        <v>168</v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 t="n">
        <v>800</v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 t="n">
        <v>512</v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 t="n">
        <v>288</v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 t="n">
        <v>592</v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 t="n">
        <v>208</v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 t="n">
        <v>592</v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 t="n">
        <v>800</v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 t="n">
        <v>800</v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 t="n">
        <v>800</v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 t="n">
        <v>800</v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 t="n">
        <v>784</v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 t="n">
        <v>800</v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 t="n">
        <v>800</v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 t="n">
        <v>800</v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 t="n">
        <v>640</v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 t="n">
        <v>768</v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 t="n">
        <v>560</v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 t="n">
        <v>768</v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 t="n">
        <v>496</v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 t="n">
        <v>768</v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 t="n">
        <v>768</v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 t="n">
        <v>688</v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 t="n">
        <v>144</v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 t="n">
        <v>652</v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 t="n">
        <v>496</v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 t="n">
        <v>768</v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 t="n">
        <v>800</v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 t="n">
        <v>560</v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 t="n">
        <v>800</v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 t="n">
        <v>800</v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 t="n">
        <v>800</v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 t="n">
        <v>800</v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 t="n">
        <v>800</v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 t="n">
        <v>800</v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 t="n">
        <v>800</v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 t="n">
        <v>800</v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 t="n">
        <v>800</v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 t="n">
        <v>768</v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 t="n">
        <v>768</v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 t="n">
        <v>192</v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 t="n">
        <v>384</v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 t="n">
        <v>384</v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 t="n">
        <v>384</v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 t="n">
        <v>384</v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 t="n">
        <v>384</v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 t="n">
        <v>384</v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 t="n">
        <v>384</v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 t="n">
        <v>384</v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 t="n">
        <v>800</v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 t="n">
        <v>256</v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 t="n">
        <v>164</v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 t="n">
        <v>800</v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 t="n">
        <v>336</v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 t="n">
        <v>368</v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 t="n">
        <v>800</v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 t="n">
        <v>800</v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 t="n">
        <v>592</v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 t="n">
        <v>128</v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 t="n">
        <v>336</v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 t="n">
        <v>304</v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 t="n">
        <v>144</v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 t="n">
        <v>16</v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 t="n">
        <v>480</v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 t="n">
        <v>320</v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 t="n">
        <v>480</v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 t="n">
        <v>320</v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 t="n">
        <v>416</v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 t="n">
        <v>384</v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 t="n">
        <v>416</v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 t="n">
        <v>384</v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 t="n">
        <v>528</v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 t="n">
        <v>272</v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 t="n">
        <v>320</v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 t="n">
        <v>240</v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 t="n">
        <v>240</v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 t="n">
        <v>384</v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 t="n">
        <v>288</v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 t="n">
        <v>128</v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 t="n">
        <v>48</v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 t="n">
        <v>800</v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 t="n">
        <v>800</v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 t="n">
        <v>224</v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 t="n">
        <v>800</v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 t="n">
        <v>800</v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 t="n">
        <v>800</v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 t="n">
        <v>180</v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 t="n">
        <v>416</v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 t="n">
        <v>384</v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 t="n">
        <v>800</v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 t="n">
        <v>800</v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 t="n">
        <v>384</v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 t="n">
        <v>416</v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 t="n">
        <v>800</v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 t="n">
        <v>800</v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 t="n">
        <v>800</v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 t="n">
        <v>800</v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 t="n">
        <v>384</v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 t="n">
        <v>416</v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 t="n">
        <v>384</v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 t="n">
        <v>416</v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 t="n">
        <v>800</v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 t="n">
        <v>800</v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 t="n">
        <v>224</v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 t="n">
        <v>576</v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 t="n">
        <v>800</v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 t="n">
        <v>288</v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 t="n">
        <v>384</v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 t="n">
        <v>416</v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 t="n">
        <v>416</v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 t="n">
        <v>384</v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 t="n">
        <v>400</v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 t="n">
        <v>400</v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 t="n">
        <v>800</v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 t="n">
        <v>800</v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 t="n">
        <v>800</v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 t="n">
        <v>800</v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 t="n">
        <v>800</v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 t="n">
        <v>800</v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 t="n">
        <v>800</v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 t="n">
        <v>800</v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 t="n">
        <v>800</v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 t="n">
        <v>416</v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 t="n">
        <v>384</v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 t="n">
        <v>384</v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 t="n">
        <v>416</v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 t="n">
        <v>400</v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 t="n">
        <v>400</v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 t="n">
        <v>704</v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 t="n">
        <v>800</v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 t="n">
        <v>800</v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 t="n">
        <v>800</v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 t="n">
        <v>800</v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 t="n">
        <v>576</v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 t="n">
        <v>800</v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 t="n">
        <v>800</v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 t="n">
        <v>800</v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 t="n">
        <v>800</v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 t="n">
        <v>800</v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 t="n">
        <v>800</v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 t="n">
        <v>240</v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 t="n">
        <v>560</v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 t="n">
        <v>256</v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 t="n">
        <v>800</v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 t="n">
        <v>80</v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 t="n">
        <v>800</v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 t="n">
        <v>832</v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 t="n">
        <v>832</v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 t="n">
        <v>640</v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 t="n">
        <v>800</v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 t="n">
        <v>672</v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 t="n">
        <v>800</v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 t="n">
        <v>200</v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 t="n">
        <v>800</v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 t="n">
        <v>320</v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 t="n">
        <v>800</v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 t="n">
        <v>800</v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 t="n">
        <v>800</v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 t="n">
        <v>640</v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 t="n">
        <v>800</v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 t="n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 t="n">
        <v>159</v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 t="n">
        <v>240</v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 t="n">
        <v>30</v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 t="n">
        <v>2</v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 t="n">
        <v>153</v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 t="n">
        <v>4</v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 t="n">
        <v>86</v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 t="n">
        <v>150</v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 t="n">
        <v>231</v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 t="n">
        <v>200</v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 t="n">
        <v>289.5</v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  <row r="280">
      <c r="A280" s="2" t="inlineStr">
        <is>
          <t>CLEMENTINES</t>
        </is>
      </c>
      <c r="B280" s="6" t="n">
        <v>45649</v>
      </c>
      <c r="C280" s="11" t="inlineStr">
        <is>
          <t>1</t>
        </is>
      </c>
      <c r="D280" s="9">
        <f>E280*16</f>
        <v/>
      </c>
      <c r="E280" s="9" t="n">
        <v>191</v>
      </c>
      <c r="F280" s="9" t="n">
        <v>19582</v>
      </c>
      <c r="G280" s="4" t="n">
        <v>0.5909</v>
      </c>
      <c r="H280" s="9" t="n">
        <v>0</v>
      </c>
      <c r="I280" s="4" t="n">
        <v>0</v>
      </c>
      <c r="J280" s="9" t="n">
        <v>0</v>
      </c>
      <c r="K280" s="4" t="n">
        <v>0</v>
      </c>
      <c r="L280" s="2" t="n">
        <v>662</v>
      </c>
      <c r="M280" s="13">
        <f>L280/(N280+L280+J280+H280+F280)</f>
        <v/>
      </c>
      <c r="N280" s="2" t="n">
        <v>12895</v>
      </c>
      <c r="O280" s="13">
        <f>N280/(N280+L280+J280+H280+F280)</f>
        <v/>
      </c>
    </row>
    <row r="281">
      <c r="A281" s="2" t="inlineStr">
        <is>
          <t>CLEMENTINES</t>
        </is>
      </c>
      <c r="B281" s="6" t="n">
        <v>45654</v>
      </c>
      <c r="C281" s="11" t="inlineStr">
        <is>
          <t>2B</t>
        </is>
      </c>
      <c r="D281" s="9">
        <f>E281*16</f>
        <v/>
      </c>
      <c r="E281" s="9" t="n">
        <v>177</v>
      </c>
      <c r="F281" s="9" t="n">
        <v>18013</v>
      </c>
      <c r="G281" s="4" t="n">
        <v>0.58828</v>
      </c>
      <c r="H281" s="9" t="n">
        <v>0</v>
      </c>
      <c r="I281" s="4" t="n">
        <v>0</v>
      </c>
      <c r="J281" s="9" t="n">
        <v>0</v>
      </c>
      <c r="K281" s="4" t="n">
        <v>0</v>
      </c>
      <c r="L281" s="2" t="n">
        <v>612</v>
      </c>
      <c r="M281" s="13">
        <f>L281/(N281+L281+J281+H281+F281)</f>
        <v/>
      </c>
      <c r="N281" s="2" t="n">
        <v>11995</v>
      </c>
      <c r="O281" s="13">
        <f>N281/(N281+L281+J281+H281+F281)</f>
        <v/>
      </c>
    </row>
    <row r="282">
      <c r="A282" s="2" t="inlineStr">
        <is>
          <t>NAVEL</t>
        </is>
      </c>
      <c r="B282" s="6" t="n">
        <v>45794</v>
      </c>
      <c r="C282" s="11" t="inlineStr">
        <is>
          <t>10</t>
        </is>
      </c>
      <c r="D282" s="9">
        <f>E282*16</f>
        <v/>
      </c>
      <c r="E282" s="9" t="n">
        <v>201</v>
      </c>
      <c r="F282" s="9" t="n">
        <v>3274</v>
      </c>
      <c r="G282" s="4" t="n">
        <v>0.7082000000000001</v>
      </c>
      <c r="H282" s="9" t="n">
        <v>790</v>
      </c>
      <c r="I282" s="4" t="n">
        <v>0.17088</v>
      </c>
      <c r="J282" s="9" t="n">
        <v>0</v>
      </c>
      <c r="K282" s="4" t="n">
        <v>0</v>
      </c>
      <c r="L282" s="2" t="n">
        <v>147</v>
      </c>
      <c r="M282" s="13">
        <f>L282/(N282+L282+J282+H282+F282)</f>
        <v/>
      </c>
      <c r="N282" s="2" t="n">
        <v>412</v>
      </c>
      <c r="O282" s="13">
        <f>N282/(N282+L282+J282+H282+F282)</f>
        <v/>
      </c>
    </row>
    <row r="283">
      <c r="A283" s="2" t="inlineStr">
        <is>
          <t>NAVEL</t>
        </is>
      </c>
      <c r="B283" s="6" t="n">
        <v>45791</v>
      </c>
      <c r="C283" s="11" t="inlineStr">
        <is>
          <t>8</t>
        </is>
      </c>
      <c r="D283" s="9">
        <f>E283*16</f>
        <v/>
      </c>
      <c r="E283" s="9" t="n">
        <v>390</v>
      </c>
      <c r="F283" s="9" t="n">
        <v>5721</v>
      </c>
      <c r="G283" s="4" t="n">
        <v>0.63779</v>
      </c>
      <c r="H283" s="9" t="n">
        <v>1627</v>
      </c>
      <c r="I283" s="4" t="n">
        <v>0.18138</v>
      </c>
      <c r="J283" s="9" t="n">
        <v>0</v>
      </c>
      <c r="K283" s="4" t="n">
        <v>0</v>
      </c>
      <c r="L283" s="2" t="n">
        <v>280</v>
      </c>
      <c r="M283" s="13">
        <f>L283/(N283+L283+J283+H283+F283)</f>
        <v/>
      </c>
      <c r="N283" s="2" t="n">
        <v>1342</v>
      </c>
      <c r="O283" s="13">
        <f>N283/(N283+L283+J283+H283+F283)</f>
        <v/>
      </c>
    </row>
    <row r="284">
      <c r="A284" s="2" t="inlineStr">
        <is>
          <t>NAVEL</t>
        </is>
      </c>
      <c r="B284" s="6" t="n">
        <v>45807</v>
      </c>
      <c r="C284" s="11" t="inlineStr">
        <is>
          <t>10</t>
        </is>
      </c>
      <c r="D284" s="9">
        <f>E284*16</f>
        <v/>
      </c>
      <c r="E284" s="9" t="n">
        <v>396</v>
      </c>
      <c r="F284" s="9" t="n">
        <v>5259</v>
      </c>
      <c r="G284" s="4" t="n">
        <v>0.5774</v>
      </c>
      <c r="H284" s="9" t="n">
        <v>1491</v>
      </c>
      <c r="I284" s="4" t="n">
        <v>0.1637</v>
      </c>
      <c r="J284" s="9" t="n">
        <v>0</v>
      </c>
      <c r="K284" s="4" t="n">
        <v>0</v>
      </c>
      <c r="L284" s="2" t="n">
        <v>239</v>
      </c>
      <c r="M284" s="13">
        <f>L284/(N284+L284+J284+H284+F284)</f>
        <v/>
      </c>
      <c r="N284" s="2" t="n">
        <v>2119</v>
      </c>
      <c r="O284" s="13">
        <f>N284/(N284+L284+J284+H284+F284)</f>
        <v/>
      </c>
    </row>
    <row r="285">
      <c r="A285" s="2" t="inlineStr">
        <is>
          <t>MURCOTTS</t>
        </is>
      </c>
      <c r="B285" s="6" t="n">
        <v>45812</v>
      </c>
      <c r="C285" s="11" t="inlineStr">
        <is>
          <t>11</t>
        </is>
      </c>
      <c r="D285" s="9">
        <f>E285*16</f>
        <v/>
      </c>
      <c r="E285" s="9" t="n">
        <v>966</v>
      </c>
      <c r="F285" s="9" t="n">
        <v>108942</v>
      </c>
      <c r="G285" s="4" t="n">
        <v>0.65001</v>
      </c>
      <c r="H285" s="9" t="n">
        <v>0</v>
      </c>
      <c r="I285" s="4" t="n">
        <v>0</v>
      </c>
      <c r="J285" s="9" t="n">
        <v>0</v>
      </c>
      <c r="K285" s="4" t="n">
        <v>0</v>
      </c>
      <c r="L285" s="2" t="n">
        <v>5210</v>
      </c>
      <c r="M285" s="13">
        <f>L285/(N285+L285+J285+H285+F285)</f>
        <v/>
      </c>
      <c r="N285" s="2" t="n">
        <v>53449</v>
      </c>
      <c r="O285" s="13">
        <f>N285/(N285+L285+J285+H285+F285)</f>
        <v/>
      </c>
    </row>
    <row r="286">
      <c r="A286" s="2" t="inlineStr">
        <is>
          <t>MURCOTTS</t>
        </is>
      </c>
      <c r="B286" s="6" t="n">
        <v>45797</v>
      </c>
      <c r="C286" s="11" t="inlineStr">
        <is>
          <t>17</t>
        </is>
      </c>
      <c r="D286" s="9">
        <f>E286*16</f>
        <v/>
      </c>
      <c r="E286" s="9" t="n">
        <v>159</v>
      </c>
      <c r="F286" s="9" t="n">
        <v>18800</v>
      </c>
      <c r="G286" s="4" t="n">
        <v>0.68148</v>
      </c>
      <c r="H286" s="9" t="n">
        <v>0</v>
      </c>
      <c r="I286" s="4" t="n">
        <v>0</v>
      </c>
      <c r="J286" s="9" t="n">
        <v>0</v>
      </c>
      <c r="K286" s="4" t="n">
        <v>0</v>
      </c>
      <c r="L286" s="2" t="n">
        <v>874</v>
      </c>
      <c r="M286" s="13">
        <f>L286/(N286+L286+J286+H286+F286)</f>
        <v/>
      </c>
      <c r="N286" s="2" t="n">
        <v>7913</v>
      </c>
      <c r="O286" s="13">
        <f>N286/(N286+L286+J286+H286+F286)</f>
        <v/>
      </c>
    </row>
    <row r="287">
      <c r="A287" s="2" t="inlineStr">
        <is>
          <t>MURCOTTS</t>
        </is>
      </c>
      <c r="B287" s="6" t="n">
        <v>45798</v>
      </c>
      <c r="C287" s="11" t="inlineStr">
        <is>
          <t>2A</t>
        </is>
      </c>
      <c r="D287" s="9">
        <f>E287*16</f>
        <v/>
      </c>
      <c r="E287" s="9" t="n">
        <v>400</v>
      </c>
      <c r="F287" s="9" t="n">
        <v>49404</v>
      </c>
      <c r="G287" s="4" t="n">
        <v>0.71187</v>
      </c>
      <c r="H287" s="9" t="n">
        <v>0</v>
      </c>
      <c r="I287" s="4" t="n">
        <v>0</v>
      </c>
      <c r="J287" s="9" t="n">
        <v>0</v>
      </c>
      <c r="K287" s="4" t="n">
        <v>0</v>
      </c>
      <c r="L287" s="2" t="n">
        <v>2230</v>
      </c>
      <c r="M287" s="13">
        <f>L287/(N287+L287+J287+H287+F287)</f>
        <v/>
      </c>
      <c r="N287" s="2" t="n">
        <v>17766</v>
      </c>
      <c r="O287" s="13">
        <f>N287/(N287+L287+J287+H287+F287)</f>
        <v/>
      </c>
    </row>
    <row r="288">
      <c r="A288" s="2" t="inlineStr">
        <is>
          <t>LEMONS</t>
        </is>
      </c>
      <c r="B288" s="6" t="n">
        <v>45780</v>
      </c>
      <c r="C288" s="11" t="inlineStr">
        <is>
          <t>12</t>
        </is>
      </c>
      <c r="D288" s="9">
        <f>E288*16</f>
        <v/>
      </c>
      <c r="E288" s="9" t="n">
        <v>825</v>
      </c>
      <c r="F288" s="9" t="n">
        <v>8284</v>
      </c>
      <c r="G288" s="4" t="n">
        <v>0.45639</v>
      </c>
      <c r="H288" s="9" t="n">
        <v>3337</v>
      </c>
      <c r="I288" s="4" t="n">
        <v>0.18385</v>
      </c>
      <c r="J288" s="9" t="n">
        <v>0</v>
      </c>
      <c r="K288" s="4" t="n">
        <v>0</v>
      </c>
      <c r="L288" s="2" t="n">
        <v>803</v>
      </c>
      <c r="M288" s="13">
        <f>L288/(N288+L288+J288+H288+F288)</f>
        <v/>
      </c>
      <c r="N288" s="2" t="n">
        <v>5727</v>
      </c>
      <c r="O288" s="13">
        <f>N288/(N288+L288+J288+H288+F288)</f>
        <v/>
      </c>
    </row>
    <row r="289">
      <c r="A289" s="2" t="inlineStr">
        <is>
          <t>LEMONS</t>
        </is>
      </c>
      <c r="B289" s="6" t="n">
        <v>45755</v>
      </c>
      <c r="C289" s="11" t="inlineStr">
        <is>
          <t>16L</t>
        </is>
      </c>
      <c r="D289" s="9">
        <f>E289*16</f>
        <v/>
      </c>
      <c r="E289" s="9" t="n">
        <v>370</v>
      </c>
      <c r="F289" s="9" t="n">
        <v>3230</v>
      </c>
      <c r="G289" s="4" t="n">
        <v>0.39681</v>
      </c>
      <c r="H289" s="9" t="n">
        <v>1846</v>
      </c>
      <c r="I289" s="4" t="n">
        <v>0.22678</v>
      </c>
      <c r="J289" s="9" t="n">
        <v>0</v>
      </c>
      <c r="K289" s="4" t="n">
        <v>0</v>
      </c>
      <c r="L289" s="2" t="n">
        <v>353</v>
      </c>
      <c r="M289" s="13">
        <f>L289/(N289+L289+J289+H289+F289)</f>
        <v/>
      </c>
      <c r="N289" s="2" t="n">
        <v>2711</v>
      </c>
      <c r="O289" s="13">
        <f>N289/(N289+L289+J289+H289+F289)</f>
        <v/>
      </c>
    </row>
    <row r="290">
      <c r="A290" s="2" t="inlineStr">
        <is>
          <t>NAVEL</t>
        </is>
      </c>
      <c r="B290" s="6" t="n">
        <v>45647</v>
      </c>
      <c r="C290" s="11" t="inlineStr">
        <is>
          <t>13W</t>
        </is>
      </c>
      <c r="D290" s="9">
        <f>E290*16</f>
        <v/>
      </c>
      <c r="E290" s="9" t="n">
        <v>111</v>
      </c>
      <c r="F290" s="9" t="n">
        <v>2002</v>
      </c>
      <c r="G290" s="4" t="n">
        <v>0.78418</v>
      </c>
      <c r="H290" s="9" t="n">
        <v>289</v>
      </c>
      <c r="I290" s="4" t="n">
        <v>0.1132</v>
      </c>
      <c r="J290" s="9" t="n">
        <v>0</v>
      </c>
      <c r="K290" s="4" t="n">
        <v>0</v>
      </c>
      <c r="L290" s="2" t="n">
        <v>90</v>
      </c>
      <c r="M290" s="13">
        <f>L290/(N290+L290+J290+H290+F290)</f>
        <v/>
      </c>
      <c r="N290" s="2" t="n">
        <v>172</v>
      </c>
      <c r="O290" s="13">
        <f>N290/(N290+L290+J290+H290+F290)</f>
        <v/>
      </c>
    </row>
    <row r="291">
      <c r="A291" s="2" t="inlineStr">
        <is>
          <t>NAVEL</t>
        </is>
      </c>
      <c r="B291" s="6" t="n">
        <v>45666</v>
      </c>
      <c r="C291" s="11" t="inlineStr">
        <is>
          <t>18W</t>
        </is>
      </c>
      <c r="D291" s="9">
        <f>E291*16</f>
        <v/>
      </c>
      <c r="E291" s="9" t="n">
        <v>82</v>
      </c>
      <c r="F291" s="9" t="n">
        <v>1174</v>
      </c>
      <c r="G291" s="4" t="n">
        <v>0.62248</v>
      </c>
      <c r="H291" s="9" t="n">
        <v>269</v>
      </c>
      <c r="I291" s="4" t="n">
        <v>0.14263</v>
      </c>
      <c r="J291" s="9" t="n">
        <v>0</v>
      </c>
      <c r="K291" s="4" t="n">
        <v>0</v>
      </c>
      <c r="L291" s="2" t="n">
        <v>63</v>
      </c>
      <c r="M291" s="13">
        <f>L291/(N291+L291+J291+H291+F291)</f>
        <v/>
      </c>
      <c r="N291" s="2" t="n">
        <v>380</v>
      </c>
      <c r="O291" s="13">
        <f>N291/(N291+L291+J291+H291+F291)</f>
        <v/>
      </c>
    </row>
    <row r="292">
      <c r="A292" s="2" t="inlineStr">
        <is>
          <t>CARA-CARA</t>
        </is>
      </c>
      <c r="B292" s="6" t="n">
        <v>45666</v>
      </c>
      <c r="C292" s="11" t="inlineStr">
        <is>
          <t>19C</t>
        </is>
      </c>
      <c r="D292" s="9">
        <f>E292*16</f>
        <v/>
      </c>
      <c r="E292" s="9" t="n">
        <v>16</v>
      </c>
      <c r="F292" s="9" t="n">
        <v>196</v>
      </c>
      <c r="G292" s="4" t="n">
        <v>0.53261</v>
      </c>
      <c r="H292" s="9" t="n">
        <v>48</v>
      </c>
      <c r="I292" s="4" t="n">
        <v>0.13043</v>
      </c>
      <c r="J292" s="9" t="n">
        <v>0</v>
      </c>
      <c r="K292" s="4" t="n">
        <v>0</v>
      </c>
      <c r="L292" s="2" t="n">
        <v>7</v>
      </c>
      <c r="M292" s="13">
        <f>L292/(N292+L292+J292+H292+F292)</f>
        <v/>
      </c>
      <c r="N292" s="2" t="n">
        <v>117</v>
      </c>
      <c r="O292" s="13">
        <f>N292/(N292+L292+J292+H292+F292)</f>
        <v/>
      </c>
    </row>
    <row r="293">
      <c r="A293" s="2" t="inlineStr">
        <is>
          <t>CARA-CARA</t>
        </is>
      </c>
      <c r="B293" s="6" t="n">
        <v>45794</v>
      </c>
      <c r="C293" s="11" t="inlineStr">
        <is>
          <t>9</t>
        </is>
      </c>
      <c r="D293" s="9">
        <f>E293*16</f>
        <v/>
      </c>
      <c r="E293" s="9" t="n">
        <v>706</v>
      </c>
      <c r="F293" s="9" t="n">
        <v>12945</v>
      </c>
      <c r="G293" s="4" t="n">
        <v>0.79715</v>
      </c>
      <c r="H293" s="9" t="n">
        <v>1018</v>
      </c>
      <c r="I293" s="4" t="n">
        <v>0.06269</v>
      </c>
      <c r="J293" s="9" t="n">
        <v>0</v>
      </c>
      <c r="K293" s="4" t="n">
        <v>0</v>
      </c>
      <c r="L293" s="2" t="n">
        <v>325</v>
      </c>
      <c r="M293" s="13">
        <f>L293/(N293+L293+J293+H293+F293)</f>
        <v/>
      </c>
      <c r="N293" s="2" t="n">
        <v>1951</v>
      </c>
      <c r="O293" s="13">
        <f>N293/(N293+L293+J293+H293+F293)</f>
        <v/>
      </c>
    </row>
    <row r="294">
      <c r="A294" s="2" t="inlineStr">
        <is>
          <t>GRAPEFRUIT</t>
        </is>
      </c>
      <c r="B294" s="6" t="n">
        <v>45930</v>
      </c>
      <c r="C294" s="11" t="inlineStr">
        <is>
          <t>15</t>
        </is>
      </c>
      <c r="D294" s="9">
        <f>E294*16</f>
        <v/>
      </c>
      <c r="E294" s="9" t="n">
        <v>251</v>
      </c>
      <c r="F294" s="9" t="n">
        <v>5081</v>
      </c>
      <c r="G294" s="4" t="n">
        <v>0.87257</v>
      </c>
      <c r="H294" s="9" t="n">
        <v>234</v>
      </c>
      <c r="I294" s="4" t="n">
        <v>0.04019</v>
      </c>
      <c r="J294" s="9" t="n">
        <v>0</v>
      </c>
      <c r="K294" s="4" t="n">
        <v>0</v>
      </c>
      <c r="L294" s="2" t="n">
        <v>76</v>
      </c>
      <c r="M294" s="13">
        <f>L294/(N294+L294+J294+H294+F294)</f>
        <v/>
      </c>
      <c r="N294" s="2" t="n">
        <v>432</v>
      </c>
      <c r="O294" s="13">
        <f>N294/(N294+L294+J294+H294+F294)</f>
        <v/>
      </c>
    </row>
    <row r="295">
      <c r="A295" s="2" t="inlineStr">
        <is>
          <t>NAVEL</t>
        </is>
      </c>
      <c r="B295" s="6" t="n">
        <v>45930</v>
      </c>
      <c r="C295" s="11" t="inlineStr">
        <is>
          <t>3</t>
        </is>
      </c>
      <c r="D295" s="9">
        <f>E295*16</f>
        <v/>
      </c>
      <c r="E295" s="9" t="n">
        <v>478.5</v>
      </c>
      <c r="F295" s="9" t="n">
        <v>5199</v>
      </c>
      <c r="G295" s="4" t="n">
        <v>0.46834</v>
      </c>
      <c r="H295" s="9" t="n">
        <v>2337</v>
      </c>
      <c r="I295" s="4" t="n">
        <v>0.21052</v>
      </c>
      <c r="J295" s="9" t="n">
        <v>0</v>
      </c>
      <c r="K295" s="4" t="n">
        <v>0</v>
      </c>
      <c r="L295" s="2" t="n">
        <v>535</v>
      </c>
      <c r="M295" s="13">
        <f>L295/(N295+L295+J295+H295+F295)</f>
        <v/>
      </c>
      <c r="N295" s="2" t="n">
        <v>3030</v>
      </c>
      <c r="O295" s="13">
        <f>N295/(N295+L295+J295+H295+F295)</f>
        <v/>
      </c>
    </row>
    <row r="296">
      <c r="A296" s="2" t="inlineStr">
        <is>
          <t>VALENCIA</t>
        </is>
      </c>
      <c r="B296" s="6" t="n">
        <v>45930</v>
      </c>
      <c r="C296" s="11" t="inlineStr">
        <is>
          <t>4</t>
        </is>
      </c>
      <c r="D296" s="9">
        <f>E296*16</f>
        <v/>
      </c>
      <c r="E296" s="9" t="n">
        <v>538</v>
      </c>
      <c r="F296" s="9" t="n">
        <v>6916</v>
      </c>
      <c r="G296" s="4" t="n">
        <v>0.55408</v>
      </c>
      <c r="H296" s="9" t="n">
        <v>3396</v>
      </c>
      <c r="I296" s="4" t="n">
        <v>0.27207</v>
      </c>
      <c r="J296" s="9" t="n">
        <v>0</v>
      </c>
      <c r="K296" s="4" t="n">
        <v>0</v>
      </c>
      <c r="L296" s="2" t="n">
        <v>326</v>
      </c>
      <c r="M296" s="13">
        <f>L296/(N296+L296+J296+H296+F296)</f>
        <v/>
      </c>
      <c r="N296" s="2" t="n">
        <v>1844</v>
      </c>
      <c r="O296" s="13">
        <f>N296/(N296+L296+J296+H296+F296)</f>
        <v/>
      </c>
    </row>
    <row r="297">
      <c r="A297" s="2" t="inlineStr">
        <is>
          <t>VALENCIA</t>
        </is>
      </c>
      <c r="B297" s="6" t="n">
        <v>45930</v>
      </c>
      <c r="C297" s="11" t="inlineStr">
        <is>
          <t>5</t>
        </is>
      </c>
      <c r="D297" s="9">
        <f>E297*16</f>
        <v/>
      </c>
      <c r="E297" s="9" t="n">
        <v>123</v>
      </c>
      <c r="F297" s="9" t="n">
        <v>1816</v>
      </c>
      <c r="G297" s="4" t="n">
        <v>0.6363</v>
      </c>
      <c r="H297" s="9" t="n">
        <v>611</v>
      </c>
      <c r="I297" s="4" t="n">
        <v>0.21409</v>
      </c>
      <c r="J297" s="9" t="n">
        <v>0</v>
      </c>
      <c r="K297" s="4" t="n">
        <v>0</v>
      </c>
      <c r="L297" s="2" t="n">
        <v>64</v>
      </c>
      <c r="M297" s="13">
        <f>L297/(N297+L297+J297+H297+F297)</f>
        <v/>
      </c>
      <c r="N297" s="2" t="n">
        <v>363</v>
      </c>
      <c r="O297" s="13">
        <f>N297/(N297+L297+J297+H297+F297)</f>
        <v/>
      </c>
    </row>
    <row r="298">
      <c r="A298" s="2" t="inlineStr">
        <is>
          <t>VALENCIA</t>
        </is>
      </c>
      <c r="B298" s="6" t="n">
        <v>45930</v>
      </c>
      <c r="C298" s="11" t="inlineStr">
        <is>
          <t>6</t>
        </is>
      </c>
      <c r="D298" s="9">
        <f>E298*16</f>
        <v/>
      </c>
      <c r="E298" s="9" t="n">
        <v>173</v>
      </c>
      <c r="F298" s="9" t="n">
        <v>1760</v>
      </c>
      <c r="G298" s="4" t="n">
        <v>0.43847</v>
      </c>
      <c r="H298" s="9" t="n">
        <v>1482</v>
      </c>
      <c r="I298" s="4" t="n">
        <v>0.36921</v>
      </c>
      <c r="J298" s="9" t="n">
        <v>0</v>
      </c>
      <c r="K298" s="4" t="n">
        <v>0</v>
      </c>
      <c r="L298" s="2" t="n">
        <v>115</v>
      </c>
      <c r="M298" s="13">
        <f>L298/(N298+L298+J298+H298+F298)</f>
        <v/>
      </c>
      <c r="N298" s="2" t="n">
        <v>657</v>
      </c>
      <c r="O298" s="13">
        <f>N298/(N298+L298+J298+H298+F298)</f>
        <v/>
      </c>
    </row>
    <row r="299">
      <c r="A299" s="2" t="inlineStr">
        <is>
          <t>VALENCIA</t>
        </is>
      </c>
      <c r="B299" s="6" t="n">
        <v>45930</v>
      </c>
      <c r="C299" s="11" t="inlineStr">
        <is>
          <t>7</t>
        </is>
      </c>
      <c r="D299" s="9">
        <f>E299*16</f>
        <v/>
      </c>
      <c r="E299" s="9" t="n">
        <v>660</v>
      </c>
      <c r="F299" s="9" t="n">
        <v>8887</v>
      </c>
      <c r="G299" s="4" t="n">
        <v>0.58036</v>
      </c>
      <c r="H299" s="9" t="n">
        <v>4123</v>
      </c>
      <c r="I299" s="4" t="n">
        <v>0.26925</v>
      </c>
      <c r="J299" s="9" t="n">
        <v>0</v>
      </c>
      <c r="K299" s="4" t="n">
        <v>0</v>
      </c>
      <c r="L299" s="2" t="n">
        <v>345</v>
      </c>
      <c r="M299" s="13">
        <f>L299/(N299+L299+J299+H299+F299)</f>
        <v/>
      </c>
      <c r="N299" s="2" t="n">
        <v>1958</v>
      </c>
      <c r="O299" s="13">
        <f>N299/(N299+L299+J299+H299+F299)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2026-08-26T16:39:50Z</dcterms:modified>
  <cp:lastModifiedBy>Meagan Slater</cp:lastModifiedBy>
</cp:coreProperties>
</file>