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16de20957c44a9/Documents/Work/Lazy S Ranch/Budget ^0 Financials/2026/"/>
    </mc:Choice>
  </mc:AlternateContent>
  <xr:revisionPtr revIDLastSave="690" documentId="8_{65FAB99A-2D34-49A5-ACDF-1F1E0DFC67BD}" xr6:coauthVersionLast="47" xr6:coauthVersionMax="47" xr10:uidLastSave="{1EA29DCF-3AC0-4B03-8F3D-C2CEEF483007}"/>
  <bookViews>
    <workbookView xWindow="-57720" yWindow="-120" windowWidth="29040" windowHeight="15720" xr2:uid="{00000000-000D-0000-FFFF-FFFF00000000}"/>
  </bookViews>
  <sheets>
    <sheet name="Revenue" sheetId="18" r:id="rId1"/>
    <sheet name="Conversion" sheetId="83" r:id="rId2"/>
    <sheet name="2026 Checks" sheetId="82" r:id="rId3"/>
    <sheet name="2025 Checks" sheetId="81" r:id="rId4"/>
    <sheet name="2024 Checks" sheetId="76" r:id="rId5"/>
    <sheet name="2023 Checks" sheetId="70" r:id="rId6"/>
    <sheet name="2022 - Checks" sheetId="68" r:id="rId7"/>
    <sheet name="2021 - Checks" sheetId="58" r:id="rId8"/>
    <sheet name="2020 - Checks" sheetId="55" r:id="rId9"/>
    <sheet name="2019 - Checks" sheetId="51" r:id="rId10"/>
    <sheet name="2018 - Checks" sheetId="50" r:id="rId11"/>
    <sheet name="2017 - Checks" sheetId="35" r:id="rId12"/>
    <sheet name="2016 - Checks" sheetId="29" r:id="rId13"/>
    <sheet name="2015 - Checks" sheetId="24" r:id="rId14"/>
    <sheet name="2014 - Checks" sheetId="22" r:id="rId15"/>
    <sheet name="2013 - Checks" sheetId="20" r:id="rId16"/>
  </sheets>
  <definedNames>
    <definedName name="_xlnm.Print_Area" localSheetId="0">Revenue!$B$2:$AF$104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86" i="18" l="1"/>
  <c r="AA185" i="18"/>
  <c r="AA180" i="18"/>
  <c r="R180" i="18"/>
  <c r="P180" i="18"/>
  <c r="Q180" i="18"/>
  <c r="T180" i="18"/>
  <c r="X180" i="18"/>
  <c r="S180" i="18"/>
  <c r="I180" i="18"/>
  <c r="L42" i="82"/>
  <c r="L43" i="82"/>
  <c r="L44" i="82"/>
  <c r="L45" i="82"/>
  <c r="L46" i="82"/>
  <c r="L47" i="82"/>
  <c r="L48" i="82"/>
  <c r="L41" i="82"/>
  <c r="H183" i="18"/>
  <c r="S182" i="18"/>
  <c r="J188" i="18"/>
  <c r="J189" i="18" s="1"/>
  <c r="H188" i="18"/>
  <c r="H189" i="18" s="1"/>
  <c r="J4" i="82"/>
  <c r="M183" i="18" l="1"/>
  <c r="N183" i="18"/>
  <c r="O183" i="18"/>
  <c r="L183" i="18"/>
  <c r="J183" i="18"/>
  <c r="K183" i="18"/>
  <c r="P183" i="18"/>
  <c r="U183" i="18"/>
  <c r="V183" i="18"/>
  <c r="W183" i="18"/>
  <c r="Z183" i="18"/>
  <c r="Y176" i="18"/>
  <c r="AA176" i="18"/>
  <c r="Z176" i="18"/>
  <c r="X176" i="18"/>
  <c r="K185" i="18" l="1"/>
  <c r="K186" i="18" s="1"/>
  <c r="I160" i="18"/>
  <c r="J160" i="18"/>
  <c r="K160" i="18"/>
  <c r="L160" i="18"/>
  <c r="M160" i="18"/>
  <c r="N160" i="18"/>
  <c r="O160" i="18"/>
  <c r="P160" i="18"/>
  <c r="Q160" i="18"/>
  <c r="R160" i="18"/>
  <c r="S160" i="18"/>
  <c r="T160" i="18"/>
  <c r="U160" i="18"/>
  <c r="V160" i="18"/>
  <c r="W160" i="18"/>
  <c r="X160" i="18"/>
  <c r="Y160" i="18"/>
  <c r="Z160" i="18"/>
  <c r="AA160" i="18"/>
  <c r="I162" i="18"/>
  <c r="I163" i="18" s="1"/>
  <c r="J162" i="18"/>
  <c r="J163" i="18" s="1"/>
  <c r="K162" i="18"/>
  <c r="K163" i="18" s="1"/>
  <c r="L162" i="18"/>
  <c r="L163" i="18" s="1"/>
  <c r="M162" i="18"/>
  <c r="M163" i="18" s="1"/>
  <c r="N162" i="18"/>
  <c r="N163" i="18" s="1"/>
  <c r="O162" i="18"/>
  <c r="O163" i="18" s="1"/>
  <c r="P162" i="18"/>
  <c r="P163" i="18" s="1"/>
  <c r="Q162" i="18"/>
  <c r="Q163" i="18" s="1"/>
  <c r="R162" i="18"/>
  <c r="R163" i="18" s="1"/>
  <c r="S162" i="18"/>
  <c r="S163" i="18" s="1"/>
  <c r="T162" i="18"/>
  <c r="T163" i="18" s="1"/>
  <c r="U162" i="18"/>
  <c r="U163" i="18" s="1"/>
  <c r="V162" i="18"/>
  <c r="V163" i="18" s="1"/>
  <c r="W162" i="18"/>
  <c r="W163" i="18" s="1"/>
  <c r="X162" i="18"/>
  <c r="X163" i="18" s="1"/>
  <c r="Y162" i="18"/>
  <c r="Y163" i="18" s="1"/>
  <c r="Z162" i="18"/>
  <c r="Z163" i="18" s="1"/>
  <c r="AA162" i="18"/>
  <c r="AA163" i="18" s="1"/>
  <c r="H162" i="18"/>
  <c r="H163" i="18" s="1"/>
  <c r="H160" i="18"/>
  <c r="H180" i="18"/>
  <c r="W182" i="18"/>
  <c r="Z182" i="18"/>
  <c r="U182" i="18"/>
  <c r="V182" i="18" s="1"/>
  <c r="X182" i="18"/>
  <c r="T182" i="18"/>
  <c r="I182" i="18"/>
  <c r="J182" i="18"/>
  <c r="J185" i="18" s="1"/>
  <c r="J186" i="18" s="1"/>
  <c r="Y182" i="18"/>
  <c r="Q182" i="18"/>
  <c r="AA182" i="18"/>
  <c r="P182" i="18"/>
  <c r="R182" i="18"/>
  <c r="R185" i="18" s="1"/>
  <c r="R186" i="18" s="1"/>
  <c r="K182" i="18"/>
  <c r="O182" i="18"/>
  <c r="N182" i="18"/>
  <c r="M182" i="18"/>
  <c r="M185" i="18" s="1"/>
  <c r="M186" i="18" s="1"/>
  <c r="L182" i="18"/>
  <c r="L185" i="18" s="1"/>
  <c r="L186" i="18" s="1"/>
  <c r="H182" i="18"/>
  <c r="B15" i="83"/>
  <c r="B6" i="83"/>
  <c r="J180" i="18"/>
  <c r="K180" i="18"/>
  <c r="L180" i="18"/>
  <c r="M180" i="18"/>
  <c r="N180" i="18"/>
  <c r="O180" i="18"/>
  <c r="U180" i="18"/>
  <c r="V180" i="18"/>
  <c r="W180" i="18"/>
  <c r="Y180" i="18"/>
  <c r="Z180" i="18"/>
  <c r="O185" i="18" l="1"/>
  <c r="O186" i="18" s="1"/>
  <c r="T185" i="18"/>
  <c r="T186" i="18" s="1"/>
  <c r="N185" i="18"/>
  <c r="N186" i="18" s="1"/>
  <c r="Z185" i="18"/>
  <c r="Z186" i="18" s="1"/>
  <c r="Q185" i="18"/>
  <c r="Q186" i="18" s="1"/>
  <c r="J165" i="18"/>
  <c r="U165" i="18"/>
  <c r="H185" i="18"/>
  <c r="H186" i="18" s="1"/>
  <c r="T165" i="18"/>
  <c r="H165" i="18"/>
  <c r="I185" i="18"/>
  <c r="I186" i="18" s="1"/>
  <c r="K165" i="18"/>
  <c r="S185" i="18"/>
  <c r="S186" i="18" s="1"/>
  <c r="Y185" i="18"/>
  <c r="Y186" i="18" s="1"/>
  <c r="V185" i="18"/>
  <c r="V186" i="18" s="1"/>
  <c r="U185" i="18"/>
  <c r="U186" i="18" s="1"/>
  <c r="Q165" i="18"/>
  <c r="P185" i="18"/>
  <c r="P186" i="18" s="1"/>
  <c r="Z165" i="18"/>
  <c r="X165" i="18"/>
  <c r="M165" i="18"/>
  <c r="W185" i="18"/>
  <c r="W186" i="18" s="1"/>
  <c r="V165" i="18"/>
  <c r="L165" i="18"/>
  <c r="S165" i="18"/>
  <c r="I165" i="18"/>
  <c r="R165" i="18"/>
  <c r="AA165" i="18"/>
  <c r="X185" i="18"/>
  <c r="X186" i="18" s="1"/>
  <c r="P165" i="18"/>
  <c r="Y165" i="18"/>
  <c r="O165" i="18"/>
  <c r="N165" i="18"/>
  <c r="W165" i="18"/>
  <c r="AB165" i="18"/>
  <c r="AB186" i="18" l="1"/>
  <c r="J29" i="82" s="1"/>
  <c r="AB185" i="18"/>
  <c r="D32" i="83" l="1"/>
  <c r="D31" i="83"/>
  <c r="D29" i="83"/>
  <c r="D27" i="83"/>
  <c r="B24" i="83"/>
  <c r="B23" i="83"/>
  <c r="B22" i="83"/>
  <c r="H12" i="83"/>
  <c r="H11" i="83"/>
  <c r="H10" i="83"/>
  <c r="H9" i="83"/>
  <c r="H8" i="83"/>
  <c r="H7" i="83"/>
  <c r="H6" i="83"/>
  <c r="H5" i="83"/>
  <c r="H4" i="83"/>
  <c r="H3" i="83"/>
  <c r="J3" i="82"/>
  <c r="J5" i="82"/>
  <c r="J6" i="82"/>
  <c r="J7" i="82"/>
  <c r="J8" i="82"/>
  <c r="J9" i="82"/>
  <c r="J10" i="82"/>
  <c r="J11" i="82"/>
  <c r="J12" i="82"/>
  <c r="J13" i="82"/>
  <c r="J14" i="82"/>
  <c r="J15" i="82"/>
  <c r="J16" i="82"/>
  <c r="J17" i="82"/>
  <c r="J18" i="82"/>
  <c r="J19" i="82"/>
  <c r="J20" i="82"/>
  <c r="J21" i="82"/>
  <c r="J2" i="82"/>
  <c r="L27" i="82"/>
  <c r="J22" i="82"/>
  <c r="M27" i="81"/>
  <c r="K25" i="81"/>
  <c r="L4" i="82" l="1"/>
  <c r="J191" i="18" s="1"/>
  <c r="J194" i="18"/>
  <c r="J192" i="18" s="1"/>
  <c r="L21" i="82"/>
  <c r="AA194" i="18"/>
  <c r="L19" i="82"/>
  <c r="Y194" i="18"/>
  <c r="L17" i="82"/>
  <c r="W194" i="18"/>
  <c r="L13" i="82"/>
  <c r="S194" i="18"/>
  <c r="L3" i="82"/>
  <c r="I194" i="18"/>
  <c r="L20" i="82"/>
  <c r="Z194" i="18"/>
  <c r="L18" i="82"/>
  <c r="X194" i="18"/>
  <c r="L15" i="82"/>
  <c r="U194" i="18"/>
  <c r="L14" i="82"/>
  <c r="T194" i="18"/>
  <c r="L2" i="82"/>
  <c r="H191" i="18" s="1"/>
  <c r="H194" i="18"/>
  <c r="H192" i="18" s="1"/>
  <c r="J25" i="82"/>
  <c r="J27" i="82" s="1"/>
  <c r="L12" i="82"/>
  <c r="R194" i="18"/>
  <c r="L11" i="82"/>
  <c r="Q194" i="18"/>
  <c r="L10" i="82"/>
  <c r="P194" i="18"/>
  <c r="L9" i="82"/>
  <c r="O194" i="18"/>
  <c r="L8" i="82"/>
  <c r="N194" i="18"/>
  <c r="L7" i="82"/>
  <c r="M194" i="18"/>
  <c r="L16" i="82"/>
  <c r="V194" i="18"/>
  <c r="L6" i="82"/>
  <c r="L194" i="18"/>
  <c r="L5" i="82"/>
  <c r="K194" i="18"/>
  <c r="X171" i="18"/>
  <c r="X168" i="18"/>
  <c r="AB194" i="18" l="1"/>
  <c r="X174" i="18"/>
  <c r="X172" i="18" s="1"/>
  <c r="T168" i="18"/>
  <c r="K9" i="81" l="1"/>
  <c r="K8" i="81"/>
  <c r="O168" i="18"/>
  <c r="O169" i="18" s="1"/>
  <c r="N168" i="18"/>
  <c r="N169" i="18" s="1"/>
  <c r="M168" i="18"/>
  <c r="M169" i="18" s="1"/>
  <c r="L168" i="18"/>
  <c r="L169" i="18" s="1"/>
  <c r="K6" i="81"/>
  <c r="L12" i="81"/>
  <c r="K27" i="81"/>
  <c r="K12" i="81"/>
  <c r="U168" i="18"/>
  <c r="U169" i="18" s="1"/>
  <c r="K168" i="18"/>
  <c r="K169" i="18" s="1"/>
  <c r="J168" i="18"/>
  <c r="J169" i="18" s="1"/>
  <c r="H168" i="18"/>
  <c r="H169" i="18" s="1"/>
  <c r="V168" i="18"/>
  <c r="V169" i="18" s="1"/>
  <c r="Z168" i="18"/>
  <c r="Z169" i="18" s="1"/>
  <c r="P168" i="18"/>
  <c r="P169" i="18" s="1"/>
  <c r="K10" i="81"/>
  <c r="K3" i="81"/>
  <c r="K4" i="81"/>
  <c r="K5" i="81"/>
  <c r="K7" i="81"/>
  <c r="K11" i="81"/>
  <c r="K13" i="81"/>
  <c r="K14" i="81"/>
  <c r="K15" i="81"/>
  <c r="K16" i="81"/>
  <c r="K17" i="81"/>
  <c r="K18" i="81"/>
  <c r="K19" i="81"/>
  <c r="K20" i="81"/>
  <c r="K21" i="81"/>
  <c r="K2" i="81"/>
  <c r="R168" i="18" l="1"/>
  <c r="R169" i="18" s="1"/>
  <c r="W168" i="18"/>
  <c r="W169" i="18" s="1"/>
  <c r="AA168" i="18"/>
  <c r="Q168" i="18"/>
  <c r="Q169" i="18" s="1"/>
  <c r="M17" i="81"/>
  <c r="W171" i="18" s="1"/>
  <c r="M15" i="81"/>
  <c r="U171" i="18" s="1"/>
  <c r="M16" i="81"/>
  <c r="M18" i="81"/>
  <c r="M20" i="81"/>
  <c r="Z171" i="18" s="1"/>
  <c r="M21" i="81"/>
  <c r="AA171" i="18" s="1"/>
  <c r="M2" i="81"/>
  <c r="H171" i="18" s="1"/>
  <c r="M4" i="81"/>
  <c r="J171" i="18" s="1"/>
  <c r="M5" i="81"/>
  <c r="K171" i="18" s="1"/>
  <c r="M7" i="81"/>
  <c r="M171" i="18" s="1"/>
  <c r="M8" i="81"/>
  <c r="N171" i="18" s="1"/>
  <c r="M9" i="81"/>
  <c r="O171" i="18" s="1"/>
  <c r="M10" i="81"/>
  <c r="P171" i="18" s="1"/>
  <c r="M14" i="81"/>
  <c r="T171" i="18" s="1"/>
  <c r="I168" i="18"/>
  <c r="K22" i="81"/>
  <c r="C3" i="76"/>
  <c r="C4" i="76"/>
  <c r="C5" i="76"/>
  <c r="C6" i="76"/>
  <c r="C7" i="76"/>
  <c r="C8" i="76"/>
  <c r="C9" i="76"/>
  <c r="C10" i="76"/>
  <c r="C11" i="76"/>
  <c r="C12" i="76"/>
  <c r="C13" i="76"/>
  <c r="C14" i="76"/>
  <c r="C15" i="76"/>
  <c r="C16" i="76"/>
  <c r="C17" i="76"/>
  <c r="C18" i="76"/>
  <c r="C19" i="76"/>
  <c r="C20" i="76"/>
  <c r="C21" i="76"/>
  <c r="C22" i="76"/>
  <c r="C23" i="76"/>
  <c r="C24" i="76"/>
  <c r="C25" i="76"/>
  <c r="C26" i="76"/>
  <c r="C27" i="76"/>
  <c r="C28" i="76"/>
  <c r="C29" i="76"/>
  <c r="C30" i="76"/>
  <c r="C31" i="76"/>
  <c r="C32" i="76"/>
  <c r="C33" i="76"/>
  <c r="C34" i="76"/>
  <c r="C35" i="76"/>
  <c r="C36" i="76"/>
  <c r="C37" i="76"/>
  <c r="C38" i="76"/>
  <c r="C39" i="76"/>
  <c r="C40" i="76"/>
  <c r="C41" i="76"/>
  <c r="C2" i="76"/>
  <c r="T169" i="18"/>
  <c r="AC174" i="18"/>
  <c r="P2" i="76"/>
  <c r="P11" i="76"/>
  <c r="P12" i="76"/>
  <c r="D70" i="76"/>
  <c r="D67" i="76"/>
  <c r="P10" i="76"/>
  <c r="H7" i="76"/>
  <c r="AC155" i="18"/>
  <c r="H12" i="76"/>
  <c r="H13" i="76"/>
  <c r="H14" i="76"/>
  <c r="H16" i="76"/>
  <c r="H17" i="76"/>
  <c r="H19" i="76"/>
  <c r="H20" i="76"/>
  <c r="H22" i="76"/>
  <c r="H23" i="76"/>
  <c r="H25" i="76"/>
  <c r="H26" i="76"/>
  <c r="H4" i="76"/>
  <c r="H5" i="76"/>
  <c r="H6" i="76"/>
  <c r="H10" i="76"/>
  <c r="H11" i="76"/>
  <c r="H41" i="76"/>
  <c r="H40" i="76"/>
  <c r="H39" i="76"/>
  <c r="H38" i="76"/>
  <c r="H37" i="76"/>
  <c r="H36" i="76"/>
  <c r="H35" i="76"/>
  <c r="H34" i="76"/>
  <c r="H30" i="76"/>
  <c r="H31" i="76"/>
  <c r="H32" i="76"/>
  <c r="H33" i="76"/>
  <c r="H29" i="76"/>
  <c r="H3" i="76"/>
  <c r="H2" i="76"/>
  <c r="H28" i="76"/>
  <c r="H27" i="76"/>
  <c r="P13" i="76"/>
  <c r="S150" i="18"/>
  <c r="S151" i="18" s="1"/>
  <c r="H21" i="76"/>
  <c r="P4" i="76"/>
  <c r="J150" i="18" s="1"/>
  <c r="P5" i="76"/>
  <c r="K150" i="18" s="1"/>
  <c r="P14" i="76"/>
  <c r="T150" i="18" s="1"/>
  <c r="P3" i="76"/>
  <c r="I150" i="18" s="1"/>
  <c r="P16" i="76"/>
  <c r="P9" i="76"/>
  <c r="O150" i="18" s="1"/>
  <c r="P7" i="76"/>
  <c r="M150" i="18" s="1"/>
  <c r="P17" i="76"/>
  <c r="Y150" i="18"/>
  <c r="Y151" i="18" s="1"/>
  <c r="N14" i="76"/>
  <c r="P15" i="76"/>
  <c r="R150" i="18"/>
  <c r="R151" i="18" s="1"/>
  <c r="N11" i="76"/>
  <c r="O11" i="76" s="1"/>
  <c r="P8" i="76"/>
  <c r="N150" i="18" s="1"/>
  <c r="P6" i="76"/>
  <c r="L150" i="18"/>
  <c r="L151" i="18" s="1"/>
  <c r="P150" i="18"/>
  <c r="P148" i="18" s="1"/>
  <c r="P149" i="18" s="1"/>
  <c r="H15" i="76"/>
  <c r="H9" i="76"/>
  <c r="H8" i="76"/>
  <c r="X150" i="18"/>
  <c r="X151" i="18" s="1"/>
  <c r="U150" i="18"/>
  <c r="U148" i="18" s="1"/>
  <c r="U149" i="18" s="1"/>
  <c r="T155" i="18"/>
  <c r="O14" i="76"/>
  <c r="Q14" i="76" s="1"/>
  <c r="H150" i="18"/>
  <c r="H151" i="18"/>
  <c r="H24" i="76"/>
  <c r="H3" i="70"/>
  <c r="G3" i="70"/>
  <c r="H18" i="76"/>
  <c r="N2" i="76"/>
  <c r="H155" i="18"/>
  <c r="Q150" i="18"/>
  <c r="O2" i="76"/>
  <c r="Q2" i="76"/>
  <c r="D54" i="55"/>
  <c r="F42" i="35"/>
  <c r="F40" i="35"/>
  <c r="C60" i="35"/>
  <c r="K70" i="18"/>
  <c r="K68" i="18" s="1"/>
  <c r="N17" i="76"/>
  <c r="O17" i="76"/>
  <c r="N16" i="76"/>
  <c r="X155" i="18" s="1"/>
  <c r="N15" i="76"/>
  <c r="O15" i="76"/>
  <c r="Q15" i="76" s="1"/>
  <c r="Y155" i="18"/>
  <c r="Q17" i="76"/>
  <c r="N13" i="76"/>
  <c r="N12" i="76"/>
  <c r="O12" i="76"/>
  <c r="R155" i="18" s="1"/>
  <c r="N10" i="76"/>
  <c r="O10" i="76" s="1"/>
  <c r="N9" i="76"/>
  <c r="O9" i="76" s="1"/>
  <c r="Q9" i="76" s="1"/>
  <c r="N8" i="76"/>
  <c r="O8" i="76" s="1"/>
  <c r="Q8" i="76" s="1"/>
  <c r="N7" i="76"/>
  <c r="N6" i="76"/>
  <c r="O6" i="76" s="1"/>
  <c r="Q6" i="76" s="1"/>
  <c r="N5" i="76"/>
  <c r="O5" i="76" s="1"/>
  <c r="Q5" i="76" s="1"/>
  <c r="N4" i="76"/>
  <c r="N3" i="76"/>
  <c r="I155" i="18" s="1"/>
  <c r="F63" i="68"/>
  <c r="G10" i="70"/>
  <c r="N37" i="18"/>
  <c r="H135" i="18"/>
  <c r="H133" i="18" s="1"/>
  <c r="H134" i="18" s="1"/>
  <c r="K133" i="18"/>
  <c r="K134" i="18" s="1"/>
  <c r="O155" i="18"/>
  <c r="O13" i="76"/>
  <c r="Q13" i="76"/>
  <c r="O4" i="76"/>
  <c r="Q4" i="76" s="1"/>
  <c r="K155" i="18"/>
  <c r="O7" i="76"/>
  <c r="Q7" i="76"/>
  <c r="M155" i="18"/>
  <c r="N155" i="18"/>
  <c r="S155" i="18"/>
  <c r="D59" i="70"/>
  <c r="H140" i="18"/>
  <c r="I140" i="18"/>
  <c r="J155" i="18"/>
  <c r="Q140" i="18"/>
  <c r="AC143" i="18"/>
  <c r="D56" i="70"/>
  <c r="O143" i="18"/>
  <c r="O144" i="18" s="1"/>
  <c r="N143" i="18"/>
  <c r="M143" i="18"/>
  <c r="L143" i="18"/>
  <c r="L144" i="18" s="1"/>
  <c r="O138" i="18"/>
  <c r="L138" i="18"/>
  <c r="X140" i="18"/>
  <c r="T140" i="18"/>
  <c r="R140" i="18"/>
  <c r="P135" i="18"/>
  <c r="P140" i="18"/>
  <c r="S140" i="18"/>
  <c r="N135" i="18"/>
  <c r="N133" i="18" s="1"/>
  <c r="N134" i="18" s="1"/>
  <c r="M135" i="18"/>
  <c r="M136" i="18" s="1"/>
  <c r="G36" i="70"/>
  <c r="I36" i="70"/>
  <c r="U140" i="18"/>
  <c r="K140" i="18"/>
  <c r="K138" i="18" s="1"/>
  <c r="H28" i="70"/>
  <c r="H27" i="70"/>
  <c r="G28" i="70"/>
  <c r="G27" i="70"/>
  <c r="G25" i="70"/>
  <c r="I25" i="70"/>
  <c r="I27" i="70"/>
  <c r="I28" i="70"/>
  <c r="G21" i="70"/>
  <c r="H23" i="70"/>
  <c r="G23" i="70"/>
  <c r="H21" i="70"/>
  <c r="H20" i="70"/>
  <c r="H19" i="70"/>
  <c r="G20" i="70"/>
  <c r="G19" i="70"/>
  <c r="J140" i="18"/>
  <c r="H14" i="70"/>
  <c r="H13" i="70"/>
  <c r="G14" i="70"/>
  <c r="G13" i="70"/>
  <c r="H11" i="70"/>
  <c r="H10" i="70"/>
  <c r="G11" i="70"/>
  <c r="H8" i="70"/>
  <c r="H7" i="70"/>
  <c r="G8" i="70"/>
  <c r="G7" i="70"/>
  <c r="H5" i="70"/>
  <c r="H4" i="70"/>
  <c r="G4" i="70"/>
  <c r="G5" i="70"/>
  <c r="X135" i="18"/>
  <c r="X136" i="18" s="1"/>
  <c r="U135" i="18"/>
  <c r="U133" i="18" s="1"/>
  <c r="U134" i="18" s="1"/>
  <c r="T135" i="18"/>
  <c r="T133" i="18" s="1"/>
  <c r="T134" i="18" s="1"/>
  <c r="S135" i="18"/>
  <c r="S136" i="18" s="1"/>
  <c r="R135" i="18"/>
  <c r="R133" i="18" s="1"/>
  <c r="R134" i="18" s="1"/>
  <c r="Q135" i="18"/>
  <c r="J135" i="18"/>
  <c r="I135" i="18"/>
  <c r="U129" i="18"/>
  <c r="U127" i="18" s="1"/>
  <c r="T129" i="18"/>
  <c r="S129" i="18"/>
  <c r="R129" i="18"/>
  <c r="Q129" i="18"/>
  <c r="P129" i="18"/>
  <c r="O129" i="18"/>
  <c r="O127" i="18" s="1"/>
  <c r="N129" i="18"/>
  <c r="M129" i="18"/>
  <c r="L129" i="18"/>
  <c r="K129" i="18"/>
  <c r="J129" i="18"/>
  <c r="J127" i="18" s="1"/>
  <c r="I129" i="18"/>
  <c r="F77" i="68"/>
  <c r="F73" i="68"/>
  <c r="F75" i="68"/>
  <c r="F64" i="68"/>
  <c r="F65" i="68"/>
  <c r="F66" i="68"/>
  <c r="F67" i="68"/>
  <c r="F68" i="68"/>
  <c r="F69" i="68"/>
  <c r="F70" i="68"/>
  <c r="F71" i="68"/>
  <c r="F72" i="68"/>
  <c r="F74" i="68"/>
  <c r="F76" i="68"/>
  <c r="I5" i="70"/>
  <c r="I4" i="70"/>
  <c r="I11" i="70"/>
  <c r="I14" i="70"/>
  <c r="I20" i="70"/>
  <c r="I8" i="70"/>
  <c r="I10" i="70"/>
  <c r="I7" i="70"/>
  <c r="I13" i="70"/>
  <c r="I19" i="70"/>
  <c r="I23" i="70"/>
  <c r="I21" i="70"/>
  <c r="I3" i="70"/>
  <c r="K136" i="18"/>
  <c r="O136" i="18"/>
  <c r="O133" i="18"/>
  <c r="O134" i="18" s="1"/>
  <c r="L124" i="18"/>
  <c r="L125" i="18" s="1"/>
  <c r="H129" i="18"/>
  <c r="F33" i="68"/>
  <c r="G33" i="68"/>
  <c r="F26" i="68"/>
  <c r="G27" i="68"/>
  <c r="G26" i="68"/>
  <c r="G25" i="68"/>
  <c r="F27" i="68"/>
  <c r="F25" i="68"/>
  <c r="G20" i="68"/>
  <c r="F20" i="68"/>
  <c r="H33" i="68"/>
  <c r="H26" i="68"/>
  <c r="H25" i="68"/>
  <c r="H27" i="68"/>
  <c r="H20" i="68"/>
  <c r="L133" i="18"/>
  <c r="L134" i="18" s="1"/>
  <c r="L136" i="18"/>
  <c r="G18" i="68"/>
  <c r="F18" i="68"/>
  <c r="D16" i="68"/>
  <c r="G15" i="68"/>
  <c r="G14" i="68"/>
  <c r="F15" i="68"/>
  <c r="F14" i="68"/>
  <c r="D12" i="68"/>
  <c r="G11" i="68"/>
  <c r="F11" i="68"/>
  <c r="F10" i="68"/>
  <c r="G10" i="68"/>
  <c r="D8" i="68"/>
  <c r="G7" i="68"/>
  <c r="G6" i="68"/>
  <c r="G5" i="68"/>
  <c r="F6" i="68"/>
  <c r="F7" i="68"/>
  <c r="F5" i="68"/>
  <c r="G3" i="68"/>
  <c r="E103" i="68"/>
  <c r="D101" i="68"/>
  <c r="D102" i="68" s="1"/>
  <c r="E102" i="68" s="1"/>
  <c r="D100" i="68"/>
  <c r="H100" i="68" s="1"/>
  <c r="F3" i="68"/>
  <c r="U122" i="18"/>
  <c r="U123" i="18" s="1"/>
  <c r="U125" i="18"/>
  <c r="N125" i="18"/>
  <c r="O122" i="18"/>
  <c r="O123" i="18" s="1"/>
  <c r="H125" i="18"/>
  <c r="H122" i="18"/>
  <c r="H123" i="18" s="1"/>
  <c r="J125" i="18"/>
  <c r="P125" i="18"/>
  <c r="Q125" i="18"/>
  <c r="R125" i="18"/>
  <c r="S125" i="18"/>
  <c r="I125" i="18"/>
  <c r="S122" i="18"/>
  <c r="S123" i="18" s="1"/>
  <c r="R122" i="18"/>
  <c r="R123" i="18" s="1"/>
  <c r="Q122" i="18"/>
  <c r="Q123" i="18" s="1"/>
  <c r="P122" i="18"/>
  <c r="P123" i="18" s="1"/>
  <c r="M122" i="18"/>
  <c r="M123" i="18" s="1"/>
  <c r="J122" i="18"/>
  <c r="J123" i="18" s="1"/>
  <c r="I122" i="18"/>
  <c r="I123" i="18" s="1"/>
  <c r="O114" i="18"/>
  <c r="N114" i="18"/>
  <c r="M114" i="18"/>
  <c r="L114" i="18"/>
  <c r="L112" i="18" s="1"/>
  <c r="D56" i="58"/>
  <c r="D54" i="58"/>
  <c r="D35" i="58"/>
  <c r="P114" i="18"/>
  <c r="P117" i="18" s="1"/>
  <c r="P118" i="18" s="1"/>
  <c r="D46" i="58"/>
  <c r="D48" i="58"/>
  <c r="K109" i="18"/>
  <c r="K110" i="18" s="1"/>
  <c r="J114" i="18"/>
  <c r="J117" i="18" s="1"/>
  <c r="J118" i="18" s="1"/>
  <c r="I114" i="18"/>
  <c r="I112" i="18" s="1"/>
  <c r="S114" i="18"/>
  <c r="S112" i="18" s="1"/>
  <c r="T114" i="18"/>
  <c r="T117" i="18" s="1"/>
  <c r="T118" i="18" s="1"/>
  <c r="Q114" i="18"/>
  <c r="E62" i="58"/>
  <c r="D60" i="58"/>
  <c r="D61" i="58" s="1"/>
  <c r="E61" i="58" s="1"/>
  <c r="D59" i="58"/>
  <c r="H59" i="58" s="1"/>
  <c r="D41" i="58"/>
  <c r="D57" i="68"/>
  <c r="H3" i="68"/>
  <c r="H6" i="68"/>
  <c r="H14" i="68"/>
  <c r="H7" i="68"/>
  <c r="H10" i="68"/>
  <c r="H5" i="68"/>
  <c r="H11" i="68"/>
  <c r="H18" i="68"/>
  <c r="H15" i="68"/>
  <c r="K122" i="18"/>
  <c r="K123" i="18" s="1"/>
  <c r="K125" i="18"/>
  <c r="T122" i="18"/>
  <c r="T123" i="18" s="1"/>
  <c r="M125" i="18"/>
  <c r="N122" i="18"/>
  <c r="N123" i="18" s="1"/>
  <c r="O125" i="18"/>
  <c r="T125" i="18"/>
  <c r="K114" i="18"/>
  <c r="F28" i="58"/>
  <c r="G28" i="58"/>
  <c r="H28" i="58" s="1"/>
  <c r="G27" i="58"/>
  <c r="H27" i="58" s="1"/>
  <c r="D27" i="58"/>
  <c r="F25" i="58"/>
  <c r="G25" i="58"/>
  <c r="G19" i="58"/>
  <c r="F19" i="58"/>
  <c r="G15" i="58"/>
  <c r="G14" i="58"/>
  <c r="G13" i="58"/>
  <c r="F16" i="58"/>
  <c r="H16" i="58"/>
  <c r="F15" i="58"/>
  <c r="F14" i="58"/>
  <c r="F13" i="58"/>
  <c r="H13" i="58"/>
  <c r="D17" i="58"/>
  <c r="F27" i="58"/>
  <c r="R114" i="18"/>
  <c r="R112" i="18" s="1"/>
  <c r="H25" i="58"/>
  <c r="D29" i="58"/>
  <c r="H15" i="58"/>
  <c r="H14" i="58"/>
  <c r="H19" i="58"/>
  <c r="S107" i="18"/>
  <c r="S108" i="18" s="1"/>
  <c r="S110" i="18"/>
  <c r="J110" i="18"/>
  <c r="L110" i="18"/>
  <c r="M110" i="18"/>
  <c r="N110" i="18"/>
  <c r="O110" i="18"/>
  <c r="P110" i="18"/>
  <c r="Q110" i="18"/>
  <c r="R110" i="18"/>
  <c r="T110" i="18"/>
  <c r="I110" i="18"/>
  <c r="T107" i="18"/>
  <c r="T108" i="18" s="1"/>
  <c r="R107" i="18"/>
  <c r="R108" i="18" s="1"/>
  <c r="Q107" i="18"/>
  <c r="Q108" i="18" s="1"/>
  <c r="P107" i="18"/>
  <c r="P108" i="18" s="1"/>
  <c r="O107" i="18"/>
  <c r="O108" i="18" s="1"/>
  <c r="N107" i="18"/>
  <c r="N108" i="18" s="1"/>
  <c r="M107" i="18"/>
  <c r="M108" i="18" s="1"/>
  <c r="J107" i="18"/>
  <c r="J108" i="18" s="1"/>
  <c r="I107" i="18"/>
  <c r="I108" i="18" s="1"/>
  <c r="F11" i="58"/>
  <c r="D9" i="58"/>
  <c r="F8" i="58"/>
  <c r="H8" i="58"/>
  <c r="F7" i="58"/>
  <c r="H7" i="58"/>
  <c r="H11" i="58"/>
  <c r="L107" i="18"/>
  <c r="L108" i="18" s="1"/>
  <c r="P103" i="18"/>
  <c r="N101" i="18"/>
  <c r="M101" i="18"/>
  <c r="F4" i="58"/>
  <c r="H4" i="58"/>
  <c r="D5" i="58"/>
  <c r="F3" i="58"/>
  <c r="H3" i="58"/>
  <c r="D44" i="55"/>
  <c r="F26" i="55"/>
  <c r="H26" i="55"/>
  <c r="D27" i="55"/>
  <c r="D28" i="55"/>
  <c r="F24" i="55"/>
  <c r="R103" i="18"/>
  <c r="R101" i="18" s="1"/>
  <c r="D46" i="55"/>
  <c r="F27" i="55"/>
  <c r="H27" i="55"/>
  <c r="D35" i="55"/>
  <c r="D17" i="55"/>
  <c r="D11" i="55"/>
  <c r="I103" i="18"/>
  <c r="K103" i="18"/>
  <c r="K101" i="18" s="1"/>
  <c r="T103" i="18"/>
  <c r="Q103" i="18"/>
  <c r="H24" i="55"/>
  <c r="L98" i="18"/>
  <c r="L101" i="18" s="1"/>
  <c r="J103" i="18"/>
  <c r="I99" i="18"/>
  <c r="G22" i="55"/>
  <c r="F22" i="55"/>
  <c r="D6" i="55"/>
  <c r="D56" i="55"/>
  <c r="G16" i="55"/>
  <c r="G15" i="55"/>
  <c r="F16" i="55"/>
  <c r="F15" i="55"/>
  <c r="F13" i="55"/>
  <c r="H13" i="55"/>
  <c r="G10" i="55"/>
  <c r="G9" i="55"/>
  <c r="G8" i="55"/>
  <c r="F9" i="55"/>
  <c r="F10" i="55"/>
  <c r="F8" i="55"/>
  <c r="F4" i="55"/>
  <c r="F5" i="55"/>
  <c r="F3" i="55"/>
  <c r="G5" i="55"/>
  <c r="G4" i="55"/>
  <c r="G3" i="55"/>
  <c r="Q99" i="18"/>
  <c r="I96" i="18"/>
  <c r="I97" i="18" s="1"/>
  <c r="K99" i="18"/>
  <c r="M99" i="18"/>
  <c r="N99" i="18"/>
  <c r="O99" i="18"/>
  <c r="P99" i="18"/>
  <c r="R99" i="18"/>
  <c r="T99" i="18"/>
  <c r="J99" i="18"/>
  <c r="T96" i="18"/>
  <c r="T97" i="18" s="1"/>
  <c r="R96" i="18"/>
  <c r="R97" i="18" s="1"/>
  <c r="P96" i="18"/>
  <c r="P97" i="18" s="1"/>
  <c r="O96" i="18"/>
  <c r="O97" i="18" s="1"/>
  <c r="N96" i="18"/>
  <c r="N97" i="18" s="1"/>
  <c r="M96" i="18"/>
  <c r="M97" i="18" s="1"/>
  <c r="K96" i="18"/>
  <c r="K97" i="18" s="1"/>
  <c r="J96" i="18"/>
  <c r="J97" i="18" s="1"/>
  <c r="O90" i="18"/>
  <c r="N90" i="18"/>
  <c r="M90" i="18"/>
  <c r="L90" i="18"/>
  <c r="H4" i="55"/>
  <c r="H3" i="55"/>
  <c r="H5" i="55"/>
  <c r="H8" i="55"/>
  <c r="H10" i="55"/>
  <c r="H9" i="55"/>
  <c r="H15" i="55"/>
  <c r="H22" i="55"/>
  <c r="H16" i="55"/>
  <c r="Q96" i="18"/>
  <c r="Q97" i="18" s="1"/>
  <c r="R92" i="18"/>
  <c r="P92" i="18"/>
  <c r="D31" i="51"/>
  <c r="K92" i="18"/>
  <c r="K90" i="18" s="1"/>
  <c r="T92" i="18"/>
  <c r="Q92" i="18"/>
  <c r="H22" i="51"/>
  <c r="J22" i="51"/>
  <c r="H24" i="51"/>
  <c r="J24" i="51"/>
  <c r="H20" i="51"/>
  <c r="J20" i="51"/>
  <c r="H18" i="51"/>
  <c r="J18" i="51"/>
  <c r="H17" i="51"/>
  <c r="J17" i="51"/>
  <c r="H3" i="51"/>
  <c r="J3" i="51"/>
  <c r="H13" i="51"/>
  <c r="J13" i="51"/>
  <c r="H12" i="51"/>
  <c r="J12" i="51"/>
  <c r="H11" i="51"/>
  <c r="J11" i="51"/>
  <c r="H5" i="51"/>
  <c r="J5" i="51"/>
  <c r="H9" i="51"/>
  <c r="J9" i="51"/>
  <c r="H8" i="51"/>
  <c r="J8" i="51"/>
  <c r="H7" i="51"/>
  <c r="J7" i="51"/>
  <c r="J92" i="18"/>
  <c r="H46" i="50"/>
  <c r="H47" i="50"/>
  <c r="C77" i="50"/>
  <c r="J81" i="18"/>
  <c r="J79" i="18" s="1"/>
  <c r="C78" i="50"/>
  <c r="K81" i="18"/>
  <c r="C55" i="50"/>
  <c r="E55" i="50"/>
  <c r="C56" i="50"/>
  <c r="E56" i="50"/>
  <c r="C57" i="50"/>
  <c r="E57" i="50"/>
  <c r="C58" i="50"/>
  <c r="E58" i="50"/>
  <c r="C64" i="50"/>
  <c r="E64" i="50"/>
  <c r="B65" i="50"/>
  <c r="C65" i="50"/>
  <c r="E65" i="50"/>
  <c r="C76" i="50"/>
  <c r="C79" i="50"/>
  <c r="L81" i="18"/>
  <c r="L79" i="18" s="1"/>
  <c r="C80" i="50"/>
  <c r="M81" i="18"/>
  <c r="M79" i="18" s="1"/>
  <c r="C81" i="50"/>
  <c r="N81" i="18"/>
  <c r="C82" i="50"/>
  <c r="O81" i="18"/>
  <c r="C84" i="50"/>
  <c r="Q81" i="18"/>
  <c r="C85" i="50"/>
  <c r="R81" i="18"/>
  <c r="C86" i="50"/>
  <c r="T81" i="18"/>
  <c r="T79" i="18" s="1"/>
  <c r="E66" i="50"/>
  <c r="E59" i="50"/>
  <c r="AD76" i="18"/>
  <c r="AB87" i="18"/>
  <c r="K88" i="18"/>
  <c r="L88" i="18"/>
  <c r="M88" i="18"/>
  <c r="N88" i="18"/>
  <c r="O88" i="18"/>
  <c r="P88" i="18"/>
  <c r="Q88" i="18"/>
  <c r="R88" i="18"/>
  <c r="T88" i="18"/>
  <c r="J88" i="18"/>
  <c r="T85" i="18"/>
  <c r="T86" i="18" s="1"/>
  <c r="R85" i="18"/>
  <c r="R86" i="18" s="1"/>
  <c r="Q85" i="18"/>
  <c r="Q86" i="18" s="1"/>
  <c r="O85" i="18"/>
  <c r="O86" i="18" s="1"/>
  <c r="N85" i="18"/>
  <c r="N86" i="18" s="1"/>
  <c r="M85" i="18"/>
  <c r="M86" i="18" s="1"/>
  <c r="L85" i="18"/>
  <c r="K85" i="18"/>
  <c r="K86" i="18" s="1"/>
  <c r="J85" i="18"/>
  <c r="J86" i="18" s="1"/>
  <c r="P85" i="18"/>
  <c r="P86" i="18" s="1"/>
  <c r="E22" i="50"/>
  <c r="C83" i="50"/>
  <c r="C87" i="50"/>
  <c r="P81" i="18"/>
  <c r="P76" i="18"/>
  <c r="P74" i="18" s="1"/>
  <c r="P75" i="18" s="1"/>
  <c r="L70" i="18"/>
  <c r="L68" i="18" s="1"/>
  <c r="M70" i="18"/>
  <c r="M68" i="18" s="1"/>
  <c r="N70" i="18"/>
  <c r="O70" i="18"/>
  <c r="P70" i="18"/>
  <c r="Q70" i="18"/>
  <c r="Q68" i="18" s="1"/>
  <c r="R70" i="18"/>
  <c r="R68" i="18" s="1"/>
  <c r="T70" i="18"/>
  <c r="J77" i="18"/>
  <c r="J74" i="18"/>
  <c r="J75" i="18" s="1"/>
  <c r="C54" i="35"/>
  <c r="C55" i="35"/>
  <c r="E34" i="35"/>
  <c r="T74" i="18"/>
  <c r="T75" i="18" s="1"/>
  <c r="K77" i="18"/>
  <c r="L77" i="18"/>
  <c r="M77" i="18"/>
  <c r="N77" i="18"/>
  <c r="O77" i="18"/>
  <c r="Q77" i="18"/>
  <c r="R77" i="18"/>
  <c r="K74" i="18"/>
  <c r="K75" i="18" s="1"/>
  <c r="L74" i="18"/>
  <c r="L75" i="18" s="1"/>
  <c r="M74" i="18"/>
  <c r="M75" i="18" s="1"/>
  <c r="N74" i="18"/>
  <c r="N75" i="18" s="1"/>
  <c r="O74" i="18"/>
  <c r="O75" i="18" s="1"/>
  <c r="Q74" i="18"/>
  <c r="Q75" i="18" s="1"/>
  <c r="R74" i="18"/>
  <c r="R75" i="18" s="1"/>
  <c r="Q63" i="18"/>
  <c r="Q64" i="18" s="1"/>
  <c r="R63" i="18"/>
  <c r="R64" i="18" s="1"/>
  <c r="T63" i="18"/>
  <c r="T64" i="18" s="1"/>
  <c r="T77" i="18"/>
  <c r="E26" i="35"/>
  <c r="C46" i="35"/>
  <c r="E6" i="35"/>
  <c r="C47" i="35"/>
  <c r="C45" i="35"/>
  <c r="C43" i="35"/>
  <c r="C42" i="35"/>
  <c r="C41" i="35"/>
  <c r="C40" i="35"/>
  <c r="C44" i="35"/>
  <c r="C39" i="35"/>
  <c r="C38" i="35"/>
  <c r="C37" i="35"/>
  <c r="O66" i="18"/>
  <c r="R66" i="18"/>
  <c r="P66" i="18"/>
  <c r="K66" i="18"/>
  <c r="L66" i="18"/>
  <c r="M66" i="18"/>
  <c r="N66" i="18"/>
  <c r="Q66" i="18"/>
  <c r="T66" i="18"/>
  <c r="P63" i="18"/>
  <c r="P64" i="18" s="1"/>
  <c r="N63" i="18"/>
  <c r="N64" i="18" s="1"/>
  <c r="M63" i="18"/>
  <c r="M64" i="18" s="1"/>
  <c r="L63" i="18"/>
  <c r="L64" i="18" s="1"/>
  <c r="C57" i="29"/>
  <c r="L59" i="18" s="1"/>
  <c r="C58" i="29"/>
  <c r="M59" i="18" s="1"/>
  <c r="C59" i="29"/>
  <c r="N59" i="18" s="1"/>
  <c r="C60" i="29"/>
  <c r="O59" i="18" s="1"/>
  <c r="C62" i="29"/>
  <c r="C63" i="29"/>
  <c r="O63" i="18"/>
  <c r="O64" i="18" s="1"/>
  <c r="K63" i="18"/>
  <c r="AB65" i="18"/>
  <c r="C45" i="29"/>
  <c r="C44" i="29"/>
  <c r="G54" i="18"/>
  <c r="G52" i="18" s="1"/>
  <c r="G53" i="18" s="1"/>
  <c r="F54" i="18"/>
  <c r="F55" i="18" s="1"/>
  <c r="E52" i="29"/>
  <c r="E36" i="29"/>
  <c r="E32" i="29"/>
  <c r="Q59" i="18"/>
  <c r="Q55" i="18"/>
  <c r="Q53" i="18"/>
  <c r="T59" i="18"/>
  <c r="T57" i="18" s="1"/>
  <c r="E16" i="29"/>
  <c r="E9" i="29"/>
  <c r="G37" i="18"/>
  <c r="G35" i="18" s="1"/>
  <c r="F37" i="18"/>
  <c r="F35" i="18" s="1"/>
  <c r="G33" i="18"/>
  <c r="G30" i="18"/>
  <c r="G31" i="18" s="1"/>
  <c r="L5" i="22"/>
  <c r="L4" i="22"/>
  <c r="K55" i="18"/>
  <c r="M55" i="18"/>
  <c r="N55" i="18"/>
  <c r="O55" i="18"/>
  <c r="P55" i="18"/>
  <c r="T55" i="18"/>
  <c r="T52" i="18"/>
  <c r="T53" i="18" s="1"/>
  <c r="L55" i="18"/>
  <c r="P52" i="18"/>
  <c r="P53" i="18" s="1"/>
  <c r="O52" i="18"/>
  <c r="O53" i="18" s="1"/>
  <c r="N52" i="18"/>
  <c r="N53" i="18" s="1"/>
  <c r="M52" i="18"/>
  <c r="M53" i="18" s="1"/>
  <c r="K52" i="18"/>
  <c r="K53" i="18" s="1"/>
  <c r="L52" i="18"/>
  <c r="L53" i="18" s="1"/>
  <c r="AD48" i="18"/>
  <c r="T43" i="18"/>
  <c r="T41" i="18" s="1"/>
  <c r="T42" i="18" s="1"/>
  <c r="T48" i="18"/>
  <c r="O48" i="18"/>
  <c r="N48" i="18"/>
  <c r="N46" i="18" s="1"/>
  <c r="M48" i="18"/>
  <c r="M46" i="18"/>
  <c r="L48" i="18"/>
  <c r="F48" i="18"/>
  <c r="F46" i="18" s="1"/>
  <c r="G48" i="18"/>
  <c r="G46" i="18" s="1"/>
  <c r="K48" i="18"/>
  <c r="P48" i="18"/>
  <c r="P46" i="18" s="1"/>
  <c r="E31" i="24"/>
  <c r="L43" i="18"/>
  <c r="E23" i="24"/>
  <c r="E18" i="24"/>
  <c r="E14" i="24"/>
  <c r="E6" i="24"/>
  <c r="M44" i="18"/>
  <c r="G41" i="18"/>
  <c r="G42" i="18" s="1"/>
  <c r="P44" i="18"/>
  <c r="O44" i="18"/>
  <c r="N44" i="18"/>
  <c r="K44" i="18"/>
  <c r="G44" i="18"/>
  <c r="P41" i="18"/>
  <c r="P42" i="18" s="1"/>
  <c r="O41" i="18"/>
  <c r="O42" i="18" s="1"/>
  <c r="N41" i="18"/>
  <c r="N42" i="18" s="1"/>
  <c r="K41" i="18"/>
  <c r="K42" i="18" s="1"/>
  <c r="F41" i="18"/>
  <c r="F42" i="18" s="1"/>
  <c r="M41" i="18"/>
  <c r="M42" i="18" s="1"/>
  <c r="O37" i="18"/>
  <c r="M37" i="18"/>
  <c r="M35" i="18" s="1"/>
  <c r="L37" i="18"/>
  <c r="E45" i="22"/>
  <c r="P37" i="18"/>
  <c r="P35" i="18" s="1"/>
  <c r="I13" i="22"/>
  <c r="I14" i="22"/>
  <c r="I16" i="22"/>
  <c r="E37" i="22"/>
  <c r="E33" i="22"/>
  <c r="K37" i="18"/>
  <c r="E28" i="22"/>
  <c r="E22" i="22"/>
  <c r="E17" i="22"/>
  <c r="F44" i="18"/>
  <c r="E11" i="22"/>
  <c r="F33" i="18"/>
  <c r="AB32" i="18"/>
  <c r="E5" i="22"/>
  <c r="E44" i="20"/>
  <c r="E37" i="20"/>
  <c r="E31" i="20"/>
  <c r="P26" i="18"/>
  <c r="P24" i="18" s="1"/>
  <c r="E28" i="20"/>
  <c r="E25" i="20"/>
  <c r="E20" i="20"/>
  <c r="E17" i="20"/>
  <c r="E14" i="20"/>
  <c r="E8" i="20"/>
  <c r="K33" i="18"/>
  <c r="K30" i="18"/>
  <c r="K31" i="18" s="1"/>
  <c r="F30" i="18"/>
  <c r="F31" i="18" s="1"/>
  <c r="AD26" i="18"/>
  <c r="AC26" i="18"/>
  <c r="O26" i="18"/>
  <c r="O24" i="18" s="1"/>
  <c r="N26" i="18"/>
  <c r="M26" i="18"/>
  <c r="M24" i="18" s="1"/>
  <c r="L26" i="18"/>
  <c r="K26" i="18"/>
  <c r="K24" i="18" s="1"/>
  <c r="G26" i="18"/>
  <c r="G24" i="18" s="1"/>
  <c r="F26" i="18"/>
  <c r="P22" i="18"/>
  <c r="O22" i="18"/>
  <c r="N22" i="18"/>
  <c r="M22" i="18"/>
  <c r="L22" i="18"/>
  <c r="K22" i="18"/>
  <c r="G22" i="18"/>
  <c r="F21" i="18"/>
  <c r="P19" i="18"/>
  <c r="P20" i="18" s="1"/>
  <c r="O19" i="18"/>
  <c r="O20" i="18" s="1"/>
  <c r="N19" i="18"/>
  <c r="N20" i="18" s="1"/>
  <c r="M19" i="18"/>
  <c r="M20" i="18" s="1"/>
  <c r="L19" i="18"/>
  <c r="L20" i="18" s="1"/>
  <c r="K19" i="18"/>
  <c r="K20" i="18" s="1"/>
  <c r="G19" i="18"/>
  <c r="G20" i="18" s="1"/>
  <c r="M10" i="18"/>
  <c r="M11" i="18" s="1"/>
  <c r="L10" i="18"/>
  <c r="G10" i="18"/>
  <c r="G11" i="18" s="1"/>
  <c r="M9" i="18"/>
  <c r="L9" i="18"/>
  <c r="G9" i="18"/>
  <c r="P8" i="18"/>
  <c r="P10" i="18" s="1"/>
  <c r="O8" i="18"/>
  <c r="O9" i="18" s="1"/>
  <c r="N8" i="18"/>
  <c r="N9" i="18" s="1"/>
  <c r="K8" i="18"/>
  <c r="K9" i="18" s="1"/>
  <c r="F8" i="18"/>
  <c r="F10" i="18" s="1"/>
  <c r="O30" i="18"/>
  <c r="O31" i="18" s="1"/>
  <c r="M30" i="18"/>
  <c r="M31" i="18" s="1"/>
  <c r="O33" i="18"/>
  <c r="M33" i="18"/>
  <c r="L33" i="18"/>
  <c r="L30" i="18"/>
  <c r="L31" i="18" s="1"/>
  <c r="N33" i="18"/>
  <c r="N30" i="18"/>
  <c r="N31" i="18" s="1"/>
  <c r="P33" i="18"/>
  <c r="P30" i="18"/>
  <c r="P31" i="18" s="1"/>
  <c r="C48" i="35"/>
  <c r="L6" i="22"/>
  <c r="AC37" i="18"/>
  <c r="M5" i="22"/>
  <c r="N5" i="22"/>
  <c r="M4" i="22"/>
  <c r="N4" i="22"/>
  <c r="O101" i="18"/>
  <c r="V174" i="18"/>
  <c r="V172" i="18" s="1"/>
  <c r="M12" i="81"/>
  <c r="R171" i="18" s="1"/>
  <c r="M11" i="81"/>
  <c r="Q171" i="18" s="1"/>
  <c r="M6" i="81"/>
  <c r="L171" i="18" s="1"/>
  <c r="K10" i="18" l="1"/>
  <c r="K15" i="18" s="1"/>
  <c r="C43" i="29"/>
  <c r="N138" i="18"/>
  <c r="AB124" i="18"/>
  <c r="G15" i="18"/>
  <c r="P112" i="18"/>
  <c r="G55" i="18"/>
  <c r="N136" i="18"/>
  <c r="X133" i="18"/>
  <c r="X134" i="18" s="1"/>
  <c r="C42" i="29"/>
  <c r="L96" i="18"/>
  <c r="L97" i="18" s="1"/>
  <c r="E104" i="68"/>
  <c r="M15" i="18"/>
  <c r="AB98" i="18"/>
  <c r="AB54" i="18"/>
  <c r="F52" i="18"/>
  <c r="AB52" i="18" s="1"/>
  <c r="AB103" i="18"/>
  <c r="AE103" i="18" s="1"/>
  <c r="O10" i="18"/>
  <c r="R136" i="18"/>
  <c r="R138" i="18"/>
  <c r="T44" i="18"/>
  <c r="AB30" i="18"/>
  <c r="L122" i="18"/>
  <c r="L123" i="18" s="1"/>
  <c r="AB135" i="18"/>
  <c r="L127" i="18"/>
  <c r="S148" i="18"/>
  <c r="S149" i="18" s="1"/>
  <c r="AB76" i="18"/>
  <c r="I143" i="18"/>
  <c r="I144" i="18" s="1"/>
  <c r="N144" i="18"/>
  <c r="L99" i="18"/>
  <c r="Q143" i="18"/>
  <c r="Q144" i="18" s="1"/>
  <c r="P138" i="18"/>
  <c r="L117" i="18"/>
  <c r="L118" i="18" s="1"/>
  <c r="I117" i="18"/>
  <c r="I118" i="18" s="1"/>
  <c r="N10" i="18"/>
  <c r="N11" i="18" s="1"/>
  <c r="P77" i="18"/>
  <c r="T136" i="18"/>
  <c r="N57" i="18"/>
  <c r="M57" i="18"/>
  <c r="J112" i="18"/>
  <c r="K107" i="18"/>
  <c r="K108" i="18" s="1"/>
  <c r="U136" i="18"/>
  <c r="O35" i="18"/>
  <c r="P9" i="18"/>
  <c r="I101" i="18"/>
  <c r="Q127" i="18"/>
  <c r="S127" i="18"/>
  <c r="AB109" i="18"/>
  <c r="P136" i="18"/>
  <c r="AB8" i="18"/>
  <c r="P79" i="18"/>
  <c r="T127" i="18"/>
  <c r="P133" i="18"/>
  <c r="P134" i="18" s="1"/>
  <c r="Q101" i="18"/>
  <c r="P101" i="18"/>
  <c r="H127" i="18"/>
  <c r="AB92" i="18"/>
  <c r="AE92" i="18" s="1"/>
  <c r="R90" i="18"/>
  <c r="I127" i="18"/>
  <c r="AB129" i="18"/>
  <c r="AE129" i="18" s="1"/>
  <c r="O68" i="18"/>
  <c r="J90" i="18"/>
  <c r="T90" i="18"/>
  <c r="S133" i="18"/>
  <c r="S134" i="18" s="1"/>
  <c r="R79" i="18"/>
  <c r="R117" i="18"/>
  <c r="R118" i="18" s="1"/>
  <c r="K127" i="18"/>
  <c r="Q79" i="18"/>
  <c r="T138" i="18"/>
  <c r="T174" i="18"/>
  <c r="T172" i="18" s="1"/>
  <c r="E63" i="58"/>
  <c r="AB88" i="18"/>
  <c r="O79" i="18"/>
  <c r="L86" i="18"/>
  <c r="AB86" i="18" s="1"/>
  <c r="AB85" i="18"/>
  <c r="K112" i="18"/>
  <c r="K117" i="18"/>
  <c r="AB114" i="18"/>
  <c r="AE114" i="18" s="1"/>
  <c r="L24" i="18"/>
  <c r="L57" i="18"/>
  <c r="P15" i="18"/>
  <c r="P11" i="18"/>
  <c r="O46" i="18"/>
  <c r="N68" i="18"/>
  <c r="P90" i="18"/>
  <c r="X169" i="18"/>
  <c r="P174" i="18"/>
  <c r="P172" i="18" s="1"/>
  <c r="O57" i="18"/>
  <c r="T68" i="18"/>
  <c r="I133" i="18"/>
  <c r="I134" i="18" s="1"/>
  <c r="X143" i="18"/>
  <c r="X144" i="18" s="1"/>
  <c r="I136" i="18"/>
  <c r="P143" i="18"/>
  <c r="P144" i="18" s="1"/>
  <c r="T143" i="18"/>
  <c r="T144" i="18" s="1"/>
  <c r="S138" i="18"/>
  <c r="Q138" i="18"/>
  <c r="N35" i="18"/>
  <c r="Q151" i="18"/>
  <c r="Q148" i="18"/>
  <c r="Q149" i="18" s="1"/>
  <c r="F22" i="18"/>
  <c r="F19" i="18"/>
  <c r="AB21" i="18"/>
  <c r="F24" i="18"/>
  <c r="AB70" i="18"/>
  <c r="AE70" i="18" s="1"/>
  <c r="N112" i="18"/>
  <c r="L41" i="18"/>
  <c r="L42" i="18" s="1"/>
  <c r="L44" i="18"/>
  <c r="AB43" i="18"/>
  <c r="O112" i="18"/>
  <c r="O117" i="18"/>
  <c r="O118" i="18" s="1"/>
  <c r="F15" i="18"/>
  <c r="F11" i="18"/>
  <c r="L35" i="18"/>
  <c r="AB37" i="18"/>
  <c r="AB74" i="18"/>
  <c r="N79" i="18"/>
  <c r="Q90" i="18"/>
  <c r="N117" i="18"/>
  <c r="N118" i="18" s="1"/>
  <c r="R127" i="18"/>
  <c r="J136" i="18"/>
  <c r="J133" i="18"/>
  <c r="J134" i="18" s="1"/>
  <c r="Q136" i="18"/>
  <c r="Q133" i="18"/>
  <c r="Q134" i="18" s="1"/>
  <c r="AB81" i="18"/>
  <c r="AE81" i="18" s="1"/>
  <c r="F9" i="18"/>
  <c r="S143" i="18"/>
  <c r="S144" i="18" s="1"/>
  <c r="L46" i="18"/>
  <c r="L15" i="18"/>
  <c r="L11" i="18"/>
  <c r="K64" i="18"/>
  <c r="AB63" i="18"/>
  <c r="M117" i="18"/>
  <c r="M118" i="18" s="1"/>
  <c r="M112" i="18"/>
  <c r="T46" i="18"/>
  <c r="T112" i="18"/>
  <c r="E59" i="58"/>
  <c r="F59" i="58" s="1"/>
  <c r="E100" i="68"/>
  <c r="F100" i="68" s="1"/>
  <c r="J143" i="18"/>
  <c r="J144" i="18" s="1"/>
  <c r="J138" i="18"/>
  <c r="AB140" i="18"/>
  <c r="AE140" i="18" s="1"/>
  <c r="K79" i="18"/>
  <c r="K46" i="18"/>
  <c r="T101" i="18"/>
  <c r="M127" i="18"/>
  <c r="I169" i="18"/>
  <c r="AB26" i="18"/>
  <c r="J101" i="18"/>
  <c r="N127" i="18"/>
  <c r="M138" i="18"/>
  <c r="M144" i="18"/>
  <c r="R143" i="18"/>
  <c r="R144" i="18" s="1"/>
  <c r="K174" i="18"/>
  <c r="K172" i="18" s="1"/>
  <c r="W174" i="18"/>
  <c r="W172" i="18" s="1"/>
  <c r="Q57" i="18"/>
  <c r="P68" i="18"/>
  <c r="S117" i="18"/>
  <c r="S118" i="18" s="1"/>
  <c r="H148" i="18"/>
  <c r="H149" i="18" s="1"/>
  <c r="H153" i="18"/>
  <c r="AB48" i="18"/>
  <c r="M133" i="18"/>
  <c r="M134" i="18" s="1"/>
  <c r="P127" i="18"/>
  <c r="K35" i="18"/>
  <c r="Q117" i="18"/>
  <c r="Q118" i="18" s="1"/>
  <c r="Q112" i="18"/>
  <c r="K143" i="18"/>
  <c r="K144" i="18" s="1"/>
  <c r="O174" i="18"/>
  <c r="O172" i="18" s="1"/>
  <c r="U174" i="18"/>
  <c r="U172" i="18" s="1"/>
  <c r="U138" i="18"/>
  <c r="U143" i="18"/>
  <c r="U144" i="18" s="1"/>
  <c r="N174" i="18"/>
  <c r="N172" i="18" s="1"/>
  <c r="X138" i="18"/>
  <c r="H136" i="18"/>
  <c r="H143" i="18"/>
  <c r="H138" i="18"/>
  <c r="J174" i="18"/>
  <c r="J172" i="18" s="1"/>
  <c r="AA174" i="18"/>
  <c r="AA172" i="18" s="1"/>
  <c r="H174" i="18"/>
  <c r="H172" i="18" s="1"/>
  <c r="AA169" i="18"/>
  <c r="I138" i="18"/>
  <c r="N24" i="18"/>
  <c r="S168" i="18"/>
  <c r="S169" i="18" s="1"/>
  <c r="Y168" i="18"/>
  <c r="Y169" i="18" s="1"/>
  <c r="Q174" i="18"/>
  <c r="Q172" i="18" s="1"/>
  <c r="M19" i="81"/>
  <c r="Y171" i="18" s="1"/>
  <c r="M3" i="81"/>
  <c r="I171" i="18" s="1"/>
  <c r="M13" i="81"/>
  <c r="S171" i="18" s="1"/>
  <c r="X153" i="18"/>
  <c r="K153" i="18"/>
  <c r="K148" i="18"/>
  <c r="K149" i="18" s="1"/>
  <c r="K151" i="18"/>
  <c r="J151" i="18"/>
  <c r="J148" i="18"/>
  <c r="J149" i="18" s="1"/>
  <c r="J153" i="18"/>
  <c r="Q10" i="76"/>
  <c r="P155" i="18"/>
  <c r="R153" i="18"/>
  <c r="I153" i="18"/>
  <c r="M148" i="18"/>
  <c r="M149" i="18" s="1"/>
  <c r="M151" i="18"/>
  <c r="N148" i="18"/>
  <c r="N149" i="18" s="1"/>
  <c r="N151" i="18"/>
  <c r="AB150" i="18"/>
  <c r="I151" i="18"/>
  <c r="I148" i="18"/>
  <c r="I149" i="18" s="1"/>
  <c r="O151" i="18"/>
  <c r="O148" i="18"/>
  <c r="O149" i="18" s="1"/>
  <c r="Q155" i="18"/>
  <c r="Q11" i="76"/>
  <c r="T148" i="18"/>
  <c r="T149" i="18" s="1"/>
  <c r="T151" i="18"/>
  <c r="N153" i="18"/>
  <c r="N23" i="76"/>
  <c r="N25" i="76" s="1"/>
  <c r="U155" i="18"/>
  <c r="Y153" i="18"/>
  <c r="L148" i="18"/>
  <c r="L149" i="18" s="1"/>
  <c r="L155" i="18"/>
  <c r="Q12" i="76"/>
  <c r="X148" i="18"/>
  <c r="X149" i="18" s="1"/>
  <c r="M153" i="18"/>
  <c r="U151" i="18"/>
  <c r="Y148" i="18"/>
  <c r="Y149" i="18" s="1"/>
  <c r="P151" i="18"/>
  <c r="S153" i="18"/>
  <c r="O3" i="76"/>
  <c r="Q3" i="76" s="1"/>
  <c r="O16" i="76"/>
  <c r="Q16" i="76" s="1"/>
  <c r="R148" i="18"/>
  <c r="R149" i="18" s="1"/>
  <c r="T153" i="18"/>
  <c r="O153" i="18"/>
  <c r="K11" i="18" l="1"/>
  <c r="E44" i="29"/>
  <c r="C56" i="29" s="1"/>
  <c r="E43" i="29"/>
  <c r="C55" i="29" s="1"/>
  <c r="G59" i="18" s="1"/>
  <c r="G57" i="18" s="1"/>
  <c r="E42" i="29"/>
  <c r="C54" i="29" s="1"/>
  <c r="F59" i="18" s="1"/>
  <c r="E45" i="29"/>
  <c r="C61" i="29" s="1"/>
  <c r="P59" i="18" s="1"/>
  <c r="P57" i="18" s="1"/>
  <c r="AB96" i="18"/>
  <c r="F53" i="18"/>
  <c r="AB122" i="18"/>
  <c r="N15" i="18"/>
  <c r="O11" i="18"/>
  <c r="O15" i="18"/>
  <c r="AB10" i="18"/>
  <c r="AB107" i="18"/>
  <c r="AB24" i="18"/>
  <c r="AE26" i="18"/>
  <c r="I174" i="18"/>
  <c r="I172" i="18" s="1"/>
  <c r="Y174" i="18"/>
  <c r="Y172" i="18" s="1"/>
  <c r="AE48" i="18"/>
  <c r="AB46" i="18"/>
  <c r="AE37" i="18"/>
  <c r="AB35" i="18"/>
  <c r="AB19" i="18"/>
  <c r="F20" i="18"/>
  <c r="H144" i="18"/>
  <c r="AB143" i="18"/>
  <c r="AE143" i="18" s="1"/>
  <c r="AB133" i="18"/>
  <c r="F56" i="29"/>
  <c r="K59" i="18"/>
  <c r="AB41" i="18"/>
  <c r="K118" i="18"/>
  <c r="AB117" i="18"/>
  <c r="S174" i="18"/>
  <c r="S172" i="18" s="1"/>
  <c r="Q153" i="18"/>
  <c r="L153" i="18"/>
  <c r="P153" i="18"/>
  <c r="AB155" i="18"/>
  <c r="AE155" i="18" s="1"/>
  <c r="N27" i="76" s="1"/>
  <c r="N28" i="76" s="1"/>
  <c r="AB148" i="18"/>
  <c r="U153" i="18"/>
  <c r="R174" i="18"/>
  <c r="R172" i="18" s="1"/>
  <c r="M174" i="18"/>
  <c r="M172" i="18" s="1"/>
  <c r="AB15" i="18" l="1"/>
  <c r="AB13" i="18" s="1"/>
  <c r="C64" i="29"/>
  <c r="AB59" i="18"/>
  <c r="F57" i="18"/>
  <c r="K57" i="18"/>
  <c r="L174" i="18"/>
  <c r="L172" i="18" s="1"/>
  <c r="AE15" i="18" l="1"/>
  <c r="AB57" i="18"/>
  <c r="AE59" i="18"/>
  <c r="Z174" i="18" l="1"/>
  <c r="Z172" i="18" s="1"/>
  <c r="AB174" i="18" l="1"/>
  <c r="J30" i="82" s="1"/>
  <c r="K29" i="81" l="1"/>
  <c r="K30" i="81" s="1"/>
  <c r="AE174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slater</author>
    <author>kslater</author>
    <author>Kellie Slater</author>
    <author>Meagan Slater</author>
  </authors>
  <commentList>
    <comment ref="AC2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slater:</t>
        </r>
        <r>
          <rPr>
            <sz val="9"/>
            <color indexed="81"/>
            <rFont val="Tahoma"/>
            <family val="2"/>
          </rPr>
          <t xml:space="preserve">
Includes additional money received from olives in 2012</t>
        </r>
      </text>
    </comment>
    <comment ref="F3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slater:</t>
        </r>
        <r>
          <rPr>
            <sz val="9"/>
            <color indexed="81"/>
            <rFont val="Tahoma"/>
            <family val="2"/>
          </rPr>
          <t xml:space="preserve">
Per packout</t>
        </r>
      </text>
    </comment>
    <comment ref="G3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slater:</t>
        </r>
        <r>
          <rPr>
            <sz val="9"/>
            <color indexed="81"/>
            <rFont val="Tahoma"/>
            <family val="2"/>
          </rPr>
          <t xml:space="preserve">
Per packout</t>
        </r>
      </text>
    </comment>
    <comment ref="K3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slater:</t>
        </r>
        <r>
          <rPr>
            <sz val="9"/>
            <color indexed="81"/>
            <rFont val="Tahoma"/>
            <family val="2"/>
          </rPr>
          <t xml:space="preserve">
Per conversation with RIF on 2.19.14. RIF thinks 493 (the old estimate) is too high and 450 (a number I suggested) is too conservative so I decided to go with 475. RIF said we will be "500 easy" on 2/25/14 so I increased the number to 490
increased to 600 on 3/24/14 per packout report</t>
        </r>
      </text>
    </comment>
    <comment ref="L3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slater:</t>
        </r>
        <r>
          <rPr>
            <sz val="9"/>
            <color indexed="81"/>
            <rFont val="Tahoma"/>
            <family val="2"/>
          </rPr>
          <t xml:space="preserve">
Half way done with picking 4.22.14
760 per Craig on 4.28.14
848 per packout report on 7.7.2014</t>
        </r>
      </text>
    </comment>
    <comment ref="M3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slater:</t>
        </r>
        <r>
          <rPr>
            <sz val="9"/>
            <color indexed="81"/>
            <rFont val="Tahoma"/>
            <family val="2"/>
          </rPr>
          <t xml:space="preserve">
45 bins/acres per RIF on 7.10.14
250 per Silvino 7.30.14
252 per packout report 9.9.14</t>
        </r>
      </text>
    </comment>
    <comment ref="N3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slater:</t>
        </r>
        <r>
          <rPr>
            <sz val="9"/>
            <color indexed="81"/>
            <rFont val="Tahoma"/>
            <family val="2"/>
          </rPr>
          <t xml:space="preserve">
Per RIF 9.23.14</t>
        </r>
      </text>
    </comment>
    <comment ref="O3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slater:</t>
        </r>
        <r>
          <rPr>
            <sz val="9"/>
            <color indexed="81"/>
            <rFont val="Tahoma"/>
            <family val="2"/>
          </rPr>
          <t xml:space="preserve">
8.20.14 - Per RIF we should get 47 bins/acre
Per packout report</t>
        </r>
      </text>
    </comment>
    <comment ref="P3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slater:</t>
        </r>
        <r>
          <rPr>
            <sz val="9"/>
            <color indexed="81"/>
            <rFont val="Tahoma"/>
            <family val="2"/>
          </rPr>
          <t xml:space="preserve">
Final number - we are done picking 4.22.14</t>
        </r>
      </text>
    </comment>
    <comment ref="AC37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slater:</t>
        </r>
        <r>
          <rPr>
            <sz val="9"/>
            <color indexed="81"/>
            <rFont val="Tahoma"/>
            <family val="2"/>
          </rPr>
          <t xml:space="preserve">
Sunkist Dividend and Patronage
Villa Park Refund
</t>
        </r>
      </text>
    </comment>
    <comment ref="F43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kslater:</t>
        </r>
        <r>
          <rPr>
            <sz val="9"/>
            <color indexed="81"/>
            <rFont val="Tahoma"/>
            <family val="2"/>
          </rPr>
          <t xml:space="preserve">
Packout report</t>
        </r>
      </text>
    </comment>
    <comment ref="G43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kslater:</t>
        </r>
        <r>
          <rPr>
            <sz val="9"/>
            <color indexed="81"/>
            <rFont val="Tahoma"/>
            <family val="2"/>
          </rPr>
          <t xml:space="preserve">
Packout report</t>
        </r>
      </text>
    </comment>
    <comment ref="K43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kslater:</t>
        </r>
        <r>
          <rPr>
            <sz val="9"/>
            <color indexed="81"/>
            <rFont val="Tahoma"/>
            <family val="2"/>
          </rPr>
          <t xml:space="preserve">
Packout report</t>
        </r>
      </text>
    </comment>
    <comment ref="L43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kslater: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M43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>kslater: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N43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kslater: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O43" authorId="1" shapeId="0" xr:uid="{00000000-0006-0000-0000-000011000000}">
      <text>
        <r>
          <rPr>
            <b/>
            <sz val="9"/>
            <color indexed="81"/>
            <rFont val="Tahoma"/>
            <family val="2"/>
          </rPr>
          <t>kslater: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P43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>kslater:</t>
        </r>
        <r>
          <rPr>
            <sz val="9"/>
            <color indexed="81"/>
            <rFont val="Tahoma"/>
            <family val="2"/>
          </rPr>
          <t xml:space="preserve">
Packout report</t>
        </r>
      </text>
    </comment>
    <comment ref="T43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kslater:</t>
        </r>
        <r>
          <rPr>
            <sz val="9"/>
            <color indexed="81"/>
            <rFont val="Tahoma"/>
            <family val="2"/>
          </rPr>
          <t xml:space="preserve">
23.75 per packout report
130 per Hector at Villa Park
</t>
        </r>
      </text>
    </comment>
    <comment ref="AD48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kslater:</t>
        </r>
        <r>
          <rPr>
            <sz val="9"/>
            <color indexed="81"/>
            <rFont val="Tahoma"/>
            <family val="2"/>
          </rPr>
          <t xml:space="preserve">
Per preliminary statement</t>
        </r>
      </text>
    </comment>
    <comment ref="F54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 xml:space="preserve">kslater:
</t>
        </r>
        <r>
          <rPr>
            <sz val="9"/>
            <color indexed="81"/>
            <rFont val="Tahoma"/>
            <family val="2"/>
          </rPr>
          <t>Per packout reports</t>
        </r>
      </text>
    </comment>
    <comment ref="G54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>kslater:</t>
        </r>
        <r>
          <rPr>
            <sz val="9"/>
            <color indexed="81"/>
            <rFont val="Tahoma"/>
            <family val="2"/>
          </rPr>
          <t xml:space="preserve">
per packouts
</t>
        </r>
      </text>
    </comment>
    <comment ref="K54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kslater:</t>
        </r>
        <r>
          <rPr>
            <sz val="9"/>
            <color indexed="81"/>
            <rFont val="Tahoma"/>
            <family val="2"/>
          </rPr>
          <t xml:space="preserve">
Per packout</t>
        </r>
      </text>
    </comment>
    <comment ref="M54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>kslater:</t>
        </r>
        <r>
          <rPr>
            <sz val="9"/>
            <color indexed="81"/>
            <rFont val="Tahoma"/>
            <family val="2"/>
          </rPr>
          <t xml:space="preserve">
Per Silvino 10/9/16</t>
        </r>
      </text>
    </comment>
    <comment ref="N54" authorId="1" shapeId="0" xr:uid="{00000000-0006-0000-0000-000019000000}">
      <text>
        <r>
          <rPr>
            <b/>
            <sz val="9"/>
            <color indexed="81"/>
            <rFont val="Tahoma"/>
            <family val="2"/>
          </rPr>
          <t>kslater:</t>
        </r>
        <r>
          <rPr>
            <sz val="9"/>
            <color indexed="81"/>
            <rFont val="Tahoma"/>
            <family val="2"/>
          </rPr>
          <t xml:space="preserve">
Per Silvino 10/9/16</t>
        </r>
      </text>
    </comment>
    <comment ref="O54" authorId="1" shapeId="0" xr:uid="{00000000-0006-0000-0000-00001A000000}">
      <text>
        <r>
          <rPr>
            <b/>
            <sz val="9"/>
            <color indexed="81"/>
            <rFont val="Tahoma"/>
            <family val="2"/>
          </rPr>
          <t>kslater:</t>
        </r>
        <r>
          <rPr>
            <sz val="9"/>
            <color indexed="81"/>
            <rFont val="Tahoma"/>
            <family val="2"/>
          </rPr>
          <t xml:space="preserve">
per packout report</t>
        </r>
      </text>
    </comment>
    <comment ref="P54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kslater:</t>
        </r>
        <r>
          <rPr>
            <sz val="9"/>
            <color indexed="81"/>
            <rFont val="Tahoma"/>
            <family val="2"/>
          </rPr>
          <t xml:space="preserve">
Per Silvino 7/12/16 he thinks there could be 700 - 800 left</t>
        </r>
      </text>
    </comment>
    <comment ref="Q54" authorId="1" shapeId="0" xr:uid="{00000000-0006-0000-0000-00001C000000}">
      <text>
        <r>
          <rPr>
            <b/>
            <sz val="9"/>
            <color indexed="81"/>
            <rFont val="Tahoma"/>
            <family val="2"/>
          </rPr>
          <t>kslater:</t>
        </r>
        <r>
          <rPr>
            <sz val="9"/>
            <color indexed="81"/>
            <rFont val="Tahoma"/>
            <family val="2"/>
          </rPr>
          <t xml:space="preserve">
per packout report</t>
        </r>
      </text>
    </comment>
    <comment ref="AD59" authorId="1" shapeId="0" xr:uid="{00000000-0006-0000-0000-00001D000000}">
      <text>
        <r>
          <rPr>
            <b/>
            <sz val="9"/>
            <color indexed="81"/>
            <rFont val="Tahoma"/>
            <family val="2"/>
          </rPr>
          <t>kslater:</t>
        </r>
        <r>
          <rPr>
            <sz val="9"/>
            <color indexed="81"/>
            <rFont val="Tahoma"/>
            <family val="2"/>
          </rPr>
          <t xml:space="preserve">
Per grower statement dated 11.23.16</t>
        </r>
      </text>
    </comment>
    <comment ref="K65" authorId="1" shapeId="0" xr:uid="{00000000-0006-0000-0000-00001E000000}">
      <text>
        <r>
          <rPr>
            <b/>
            <sz val="9"/>
            <color indexed="81"/>
            <rFont val="Tahoma"/>
            <family val="2"/>
          </rPr>
          <t>kslater:</t>
        </r>
        <r>
          <rPr>
            <sz val="9"/>
            <color indexed="81"/>
            <rFont val="Tahoma"/>
            <family val="2"/>
          </rPr>
          <t xml:space="preserve">
Per packout reports</t>
        </r>
      </text>
    </comment>
    <comment ref="L65" authorId="2" shapeId="0" xr:uid="{AA65DAA8-7D52-42CC-AFAB-AB4F7DD0E5AA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</t>
        </r>
      </text>
    </comment>
    <comment ref="M65" authorId="2" shapeId="0" xr:uid="{00000000-0006-0000-0000-00001F000000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</t>
        </r>
      </text>
    </comment>
    <comment ref="N65" authorId="2" shapeId="0" xr:uid="{00000000-0006-0000-0000-000020000000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</t>
        </r>
      </text>
    </comment>
    <comment ref="O65" authorId="2" shapeId="0" xr:uid="{00000000-0006-0000-0000-000021000000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</t>
        </r>
      </text>
    </comment>
    <comment ref="P65" authorId="1" shapeId="0" xr:uid="{00000000-0006-0000-0000-000022000000}">
      <text>
        <r>
          <rPr>
            <b/>
            <sz val="9"/>
            <color indexed="81"/>
            <rFont val="Tahoma"/>
            <family val="2"/>
          </rPr>
          <t>kslater: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Q65" authorId="2" shapeId="0" xr:uid="{00000000-0006-0000-0000-000023000000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</t>
        </r>
      </text>
    </comment>
    <comment ref="R65" authorId="2" shapeId="0" xr:uid="{00000000-0006-0000-0000-000024000000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</t>
        </r>
      </text>
    </comment>
    <comment ref="T65" authorId="2" shapeId="0" xr:uid="{00000000-0006-0000-0000-000025000000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</t>
        </r>
      </text>
    </comment>
    <comment ref="AD70" authorId="1" shapeId="0" xr:uid="{00000000-0006-0000-0000-00002B000000}">
      <text>
        <r>
          <rPr>
            <b/>
            <sz val="9"/>
            <color indexed="81"/>
            <rFont val="Tahoma"/>
            <family val="2"/>
          </rPr>
          <t>kslater:</t>
        </r>
        <r>
          <rPr>
            <sz val="9"/>
            <color indexed="81"/>
            <rFont val="Tahoma"/>
            <family val="2"/>
          </rPr>
          <t xml:space="preserve">
Based on value sheets</t>
        </r>
      </text>
    </comment>
    <comment ref="J76" authorId="2" shapeId="0" xr:uid="{CE28E02B-9E58-4575-AD01-F1BB6CB48963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K76" authorId="2" shapeId="0" xr:uid="{1E45DCAF-C758-4B9A-BBC5-E0CEC5FC68B8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 (as of 2/22/18)
</t>
        </r>
      </text>
    </comment>
    <comment ref="L76" authorId="2" shapeId="0" xr:uid="{143E1DA6-876A-49F7-86B5-A891028E7AC9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 (10/8/18). Assuming this is a total packout</t>
        </r>
      </text>
    </comment>
    <comment ref="M76" authorId="2" shapeId="0" xr:uid="{BAEA4BBB-1FC5-4ACF-AC2C-9C6B70A80166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</t>
        </r>
      </text>
    </comment>
    <comment ref="N76" authorId="2" shapeId="0" xr:uid="{6CDDDA87-91B2-4595-9AF7-C30786CBD339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</t>
        </r>
      </text>
    </comment>
    <comment ref="O76" authorId="2" shapeId="0" xr:uid="{2470E5D0-BCB6-41CD-B9C3-52005839836D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</t>
        </r>
      </text>
    </comment>
    <comment ref="P76" authorId="2" shapeId="0" xr:uid="{EA9EA5E7-1FB0-4B5C-A1B4-2F06987F49BA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Q76" authorId="2" shapeId="0" xr:uid="{297AF8F6-B247-49E1-A76B-13A80809CD74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final numbers per packout reports</t>
        </r>
      </text>
    </comment>
    <comment ref="R76" authorId="2" shapeId="0" xr:uid="{E777B9FC-8260-496E-912A-0BD6A58842F2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
</t>
        </r>
      </text>
    </comment>
    <comment ref="T76" authorId="2" shapeId="0" xr:uid="{ECD35C7C-E561-4781-948C-40F591BBF825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AD81" authorId="2" shapeId="0" xr:uid="{AE282793-2E66-456E-B84C-3D3BA81787CB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Villa Park (11.15.18 Memo)
</t>
        </r>
      </text>
    </comment>
    <comment ref="J87" authorId="2" shapeId="0" xr:uid="{857874D1-D378-416D-935E-2C32747E00CB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Gary 173 (11/6/18)
Craig 200 (11/6/18)
Per packouts
</t>
        </r>
      </text>
    </comment>
    <comment ref="K87" authorId="2" shapeId="0" xr:uid="{ED76D3EB-F5B4-4BC3-9C13-27D81E450AED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L87" authorId="2" shapeId="0" xr:uid="{FBFCBB4A-9A8E-49A1-AB4A-5B1852B0A5BB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M87" authorId="2" shapeId="0" xr:uid="{9710EFAA-2FC6-4366-85AB-590CA192DD5C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N87" authorId="2" shapeId="0" xr:uid="{289D5E5C-EC6B-47AF-821A-D7399FABB93F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</t>
        </r>
      </text>
    </comment>
    <comment ref="O87" authorId="2" shapeId="0" xr:uid="{648925D1-2476-4F05-854E-D9079FA7AAC6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</t>
        </r>
      </text>
    </comment>
    <comment ref="P87" authorId="2" shapeId="0" xr:uid="{E7EBD1A9-8D34-4D6C-8BE9-C4D074EFA326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Q87" authorId="2" shapeId="0" xr:uid="{86305FCA-964D-4629-BC12-3D1D6468E668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Silvino (late Feb)
Per packouts</t>
        </r>
      </text>
    </comment>
    <comment ref="R87" authorId="2" shapeId="0" xr:uid="{B74A4AC4-EB88-4944-8DB0-55CB05835D4D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Estimate per Gary 10/1/18
per packouts</t>
        </r>
      </text>
    </comment>
    <comment ref="T87" authorId="2" shapeId="0" xr:uid="{67D10552-623B-430A-8C16-2F41C1F95B2B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 </t>
        </r>
      </text>
    </comment>
    <comment ref="J90" authorId="2" shapeId="0" xr:uid="{44FA9417-0468-4A1D-9E8F-562A2827DFF4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$300 per Gary (11/6/18)
$200 per Gary (3/14/19 text from Craig)
$207.11 based on advance (3/15/19)
$214.78 based on final check (5/23/19)</t>
        </r>
      </text>
    </comment>
    <comment ref="K90" authorId="2" shapeId="0" xr:uid="{572B8D52-8400-4C66-B745-A7ACD78B9118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Gary thinks $150 (11/6/18)
Tim thinks $90 (11/6/18)
$125 per Gary (3/14/19 text from Craig)
Check from 5/2/19 would suggest $4.30 - $15.30
Check from 7/31/19 + check from 5/2/19 indicates $14.89/bin
Final packout for March backs came out to $84.68/bin. Final pack for 171 bins came out to $27.01. I assumed the other 130  bins would be $20/bin since they were not strong packouts
$53.25 per final packouts</t>
        </r>
      </text>
    </comment>
    <comment ref="L90" authorId="2" shapeId="0" xr:uid="{610870F8-4B03-452C-8765-C78BFFF2A53B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Gary 11/6/18
$103.53 per final packout</t>
        </r>
      </text>
    </comment>
    <comment ref="M90" authorId="2" shapeId="0" xr:uid="{007044DC-67EC-4514-882E-C30596054639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Gary 11/6/18
$99.52 per final packout</t>
        </r>
      </text>
    </comment>
    <comment ref="N90" authorId="2" shapeId="0" xr:uid="{E9D8E297-B073-42AB-917A-F51DE081CD59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Gary 11/6/18
$95.48 per final packout</t>
        </r>
      </text>
    </comment>
    <comment ref="O90" authorId="2" shapeId="0" xr:uid="{44280896-9E39-44A0-AEA2-286FB41FE501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Gary 11/6/18
$100.71 per final packout</t>
        </r>
      </text>
    </comment>
    <comment ref="P90" authorId="2" shapeId="0" xr:uid="{60FCA7D9-7C8F-4759-B9BA-B1D1D72C1877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Gary 11/6/18
$150 per Gary (3/14/19 text from Craig)
April advance indicates $184/bin
July advance indicates $28.83/bin
April + July advances indicate $66.76/bin
$87.76 per final packouts</t>
        </r>
      </text>
    </comment>
    <comment ref="Q90" authorId="2" shapeId="0" xr:uid="{148C7E12-C239-4AC9-B30D-7F0FF96F9A5B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$250+ per Gary (11/6/18)
$200 per Gary (3/14/19 text from Craig)
per final packout</t>
        </r>
      </text>
    </comment>
    <comment ref="R90" authorId="2" shapeId="0" xr:uid="{155517D8-E3DB-4C74-9777-77C92D6A6FD0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Gary 11/6/18
$150 per Gary (3/14/19 text from Craig)
Per final packout</t>
        </r>
      </text>
    </comment>
    <comment ref="T90" authorId="2" shapeId="0" xr:uid="{AE61AFF8-60AA-43A3-87E5-71751206902A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$300+ per Gary (11/6/18)
$300 per Gary (3/14/19 text from Craig)
per final packout</t>
        </r>
      </text>
    </comment>
    <comment ref="AD92" authorId="2" shapeId="0" xr:uid="{96C000FF-E168-442A-909C-8E1B4B61AC23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speculation that Bell Carter doesn’t need anymore olives since the spanish company bought part of Bell Carter</t>
        </r>
      </text>
    </comment>
    <comment ref="J98" authorId="2" shapeId="0" xr:uid="{AC312A17-D333-4CBA-A27F-A85294B5EBD3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final packout</t>
        </r>
      </text>
    </comment>
    <comment ref="L98" authorId="2" shapeId="0" xr:uid="{DBD00AB4-BBF5-4DF8-911B-27E586E6A286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M98" authorId="2" shapeId="0" xr:uid="{6CA74815-1E47-4697-A53E-EE052D3AF89F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N98" authorId="2" shapeId="0" xr:uid="{C71E062C-6262-42F5-8EEC-90984803E80D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O98" authorId="2" shapeId="0" xr:uid="{B2B0581C-C9B9-4BFE-BB82-AEB15E8395DD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I101" authorId="2" shapeId="0" xr:uid="{15FD9491-9DFF-4A09-B5B9-61BCADC2B6B1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packout</t>
        </r>
      </text>
    </comment>
    <comment ref="J101" authorId="2" shapeId="0" xr:uid="{1DBA6D0C-86C9-46EF-870E-EE355E8013E5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packout</t>
        </r>
      </text>
    </comment>
    <comment ref="K101" authorId="2" shapeId="0" xr:uid="{B44B36A9-98D1-4E6A-BAF7-BF1B82467F5E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packouts</t>
        </r>
      </text>
    </comment>
    <comment ref="L101" authorId="2" shapeId="0" xr:uid="{8075068E-0C45-4877-AD75-00C6B4B3E51A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Gary 8/12/20 - he thinks we might do better than $125/bin
per 10/19/20 phone call with Villa Park, we should get $283,000 for 2,283 bins or $123.95/bin
Based on final payment</t>
        </r>
      </text>
    </comment>
    <comment ref="M101" authorId="2" shapeId="0" xr:uid="{D2BAC07D-6D16-4CC8-89C1-540B3ABCFA5D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Gary 8/12/20 - he thinks we might do better than $125/bin
per 10/19/20 phone call with Villa Park, we should get $283,000 for 2,283 bins or $123.95/bin
Per final payment</t>
        </r>
      </text>
    </comment>
    <comment ref="N101" authorId="2" shapeId="0" xr:uid="{B2853DB4-AC32-4585-93C7-3DBD1D9833B1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Gary 8/12/20 - he thinks we might do better than $125/bin
per 10/19/20 phone call with Villa Park, we should get $283,000 for 2,283 bins or $123.95/bin
Per final payment</t>
        </r>
      </text>
    </comment>
    <comment ref="O101" authorId="2" shapeId="0" xr:uid="{0C051A5D-9152-43C3-A69E-B98D60FD9859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Gary 8/12/20 - he thinks we might do better than $125/bin
per 10/19/20 phone call with Villa Park, we should get $283,000 for 2,283 bins or $123.95/bin
Per final payment</t>
        </r>
      </text>
    </comment>
    <comment ref="P101" authorId="2" shapeId="0" xr:uid="{B7EAA291-D774-4EE1-BD92-3035650E6665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advance on 239 bins and final packout on 375 bins
per final payment</t>
        </r>
      </text>
    </comment>
    <comment ref="Q101" authorId="2" shapeId="0" xr:uid="{7D0F792B-44AA-440C-9BC6-448855489E7A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packout</t>
        </r>
      </text>
    </comment>
    <comment ref="R101" authorId="2" shapeId="0" xr:uid="{E6DFE790-DF7E-4188-856E-EBB07863FE16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packout</t>
        </r>
      </text>
    </comment>
    <comment ref="T101" authorId="2" shapeId="0" xr:uid="{E2331EBC-C658-4F23-BAA4-68C5CD2A4C25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packout</t>
        </r>
      </text>
    </comment>
    <comment ref="I103" authorId="2" shapeId="0" xr:uid="{63681C56-97DD-4E5D-A8ED-DB9CD7549C99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advance</t>
        </r>
      </text>
    </comment>
    <comment ref="J103" authorId="2" shapeId="0" xr:uid="{8A650C03-9B55-4524-ADC2-772292F3C24C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packout</t>
        </r>
      </text>
    </comment>
    <comment ref="K103" authorId="2" shapeId="0" xr:uid="{5170906A-14BD-4F33-AADF-F3E3DD01DAE9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packouts</t>
        </r>
      </text>
    </comment>
    <comment ref="P103" authorId="2" shapeId="0" xr:uid="{E05BC935-A78C-4050-A5F3-735027AA7B23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advance on 239 bins and final packouts on 375 bins</t>
        </r>
      </text>
    </comment>
    <comment ref="Q103" authorId="2" shapeId="0" xr:uid="{88A1EBED-7611-469A-BC33-6C6CA4C66176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packout</t>
        </r>
      </text>
    </comment>
    <comment ref="R103" authorId="2" shapeId="0" xr:uid="{2B4D1447-EDC8-46B4-8BC8-C424EA52FEB9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packout</t>
        </r>
      </text>
    </comment>
    <comment ref="T103" authorId="2" shapeId="0" xr:uid="{FBB6B65A-5808-4A78-8BB7-A43E2FE5FAEF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packout</t>
        </r>
      </text>
    </comment>
    <comment ref="K109" authorId="2" shapeId="0" xr:uid="{2C04A220-6F12-4438-A818-1BD18D4E3CCA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packout
per Craig 06/28/21 Villa Park couldn’t pick them so Tim had Vivid Produce come pick 104 bins for $60/bin = $6,240
192 additional bins picked by Villa Park for $3,942.71</t>
        </r>
      </text>
    </comment>
    <comment ref="L109" authorId="2" shapeId="0" xr:uid="{CB30EADC-942C-4684-A989-BB709DB1DE27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 report</t>
        </r>
      </text>
    </comment>
    <comment ref="M109" authorId="2" shapeId="0" xr:uid="{E6B2DEA5-4639-4D11-A602-0A2DA9EA0571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 report</t>
        </r>
      </text>
    </comment>
    <comment ref="N109" authorId="2" shapeId="0" xr:uid="{A2146137-501F-4C67-BD5E-99A705AA85D5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</t>
        </r>
      </text>
    </comment>
    <comment ref="S109" authorId="2" shapeId="0" xr:uid="{4CF9234A-0602-4002-B5E1-3A23C413081B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packouts</t>
        </r>
      </text>
    </comment>
    <comment ref="T109" authorId="2" shapeId="0" xr:uid="{DE3B8748-F261-450E-97C6-BD2B818AD367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I112" authorId="2" shapeId="0" xr:uid="{27455F15-C9DC-4790-939C-D8C492EF023A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packout</t>
        </r>
      </text>
    </comment>
    <comment ref="J112" authorId="2" shapeId="0" xr:uid="{B4AC655F-C7F0-4E35-8CD6-A8EC8894066A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packout</t>
        </r>
      </text>
    </comment>
    <comment ref="K112" authorId="2" shapeId="0" xr:uid="{C2171343-1202-4EE1-A03E-8AFB70B3B107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packouts
per Craig 06/28/21 Villa Park couldn’t pick them so Tim had Vivid Produce come pick 104 bins for $60/bin = $6,240
Villa Park picked 192 bins for $3,942.71
</t>
        </r>
      </text>
    </comment>
    <comment ref="L112" authorId="2" shapeId="0" xr:uid="{132C6A0A-3BE9-44E2-935A-2837C86B907C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packout</t>
        </r>
      </text>
    </comment>
    <comment ref="M112" authorId="2" shapeId="0" xr:uid="{89F9C4BF-6002-4E05-B380-CB5ADEB8702D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packout</t>
        </r>
      </text>
    </comment>
    <comment ref="N112" authorId="2" shapeId="0" xr:uid="{84F209A4-24E6-4DDA-BDF7-2BF73EC3818A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packout</t>
        </r>
      </text>
    </comment>
    <comment ref="O112" authorId="2" shapeId="0" xr:uid="{3B21F069-38F3-4D3E-BFA5-7AE69F60E2BE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packout</t>
        </r>
      </text>
    </comment>
    <comment ref="P112" authorId="2" shapeId="0" xr:uid="{64FE4A97-B3CD-4DE5-8AF4-906792882349}">
      <text>
        <r>
          <rPr>
            <b/>
            <sz val="9"/>
            <color indexed="81"/>
            <rFont val="Tahoma"/>
            <family val="2"/>
          </rPr>
          <t xml:space="preserve">Kellie Slater:
</t>
        </r>
        <r>
          <rPr>
            <sz val="9"/>
            <color indexed="81"/>
            <rFont val="Tahoma"/>
            <family val="2"/>
          </rPr>
          <t>per final packout
How to account for the equity adjustment?</t>
        </r>
      </text>
    </comment>
    <comment ref="Q112" authorId="2" shapeId="0" xr:uid="{562B04A1-7E17-4890-A50A-25E2A4794C94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check</t>
        </r>
      </text>
    </comment>
    <comment ref="R112" authorId="2" shapeId="0" xr:uid="{78EB02BB-1283-46EF-BF80-8AF7F358C999}">
      <text>
        <r>
          <rPr>
            <b/>
            <sz val="9"/>
            <color indexed="81"/>
            <rFont val="Tahoma"/>
            <family val="2"/>
          </rPr>
          <t xml:space="preserve">Kellie Slater:
</t>
        </r>
        <r>
          <rPr>
            <sz val="9"/>
            <color indexed="81"/>
            <rFont val="Tahoma"/>
            <family val="2"/>
          </rPr>
          <t>per final packout
How to account for the equity adjustment?</t>
        </r>
      </text>
    </comment>
    <comment ref="S112" authorId="2" shapeId="0" xr:uid="{D263124A-3286-4907-B780-0601A4A51CC7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packout</t>
        </r>
      </text>
    </comment>
    <comment ref="T112" authorId="2" shapeId="0" xr:uid="{47DC6205-E973-47DD-B05A-172A9BDCEF2C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 check</t>
        </r>
      </text>
    </comment>
    <comment ref="E116" authorId="2" shapeId="0" xr:uid="{E1C19742-E3A4-46D1-B228-2CDBE571F4AB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Sun Pacific made a $23,786 equity adjustment on our final 2021 check - it distributes some of our income to other ranches that got picked too late and didn’t get favorable packouts. An adjustment needs to be made since the $/bin numbers above don’t include that adjustment</t>
        </r>
      </text>
    </comment>
    <comment ref="H124" authorId="2" shapeId="0" xr:uid="{E5732CFD-347C-40F5-B27D-40DF57BA8FC6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I124" authorId="2" shapeId="0" xr:uid="{8BBC07C6-32B0-4EA1-8815-3E4293F5343C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J124" authorId="2" shapeId="0" xr:uid="{49F19FF3-0CD4-457E-BD9A-67A77660DE0C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K124" authorId="2" shapeId="0" xr:uid="{B5D13130-0317-4450-AC5E-840C5713BD11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L124" authorId="2" shapeId="0" xr:uid="{80462A75-65DC-4746-A3B6-28B4AB1A4CBD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</t>
        </r>
      </text>
    </comment>
    <comment ref="M124" authorId="2" shapeId="0" xr:uid="{2990ECA9-921B-463D-A9F3-2AE2EF50C84F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</t>
        </r>
      </text>
    </comment>
    <comment ref="N124" authorId="2" shapeId="0" xr:uid="{5A63829F-6F14-4B92-9503-8F104A655FAD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</t>
        </r>
      </text>
    </comment>
    <comment ref="O124" authorId="2" shapeId="0" xr:uid="{9C5E0C5D-8919-440A-9030-275D763757A5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</t>
        </r>
      </text>
    </comment>
    <comment ref="P124" authorId="2" shapeId="0" xr:uid="{4CFB7A0D-9282-45CE-975D-EF8B2BF18D44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Q124" authorId="2" shapeId="0" xr:uid="{99201C19-1639-4C7E-B4EE-3410877A61A9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R124" authorId="2" shapeId="0" xr:uid="{608A7BD2-46FE-4048-8F79-F0AE50FCB291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S124" authorId="2" shapeId="0" xr:uid="{B3F28FBC-6409-476D-AA27-5287A03D3FD7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T124" authorId="2" shapeId="0" xr:uid="{39E66ADF-9E0D-4ED8-B764-9427FA05824C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
</t>
        </r>
      </text>
    </comment>
    <comment ref="U124" authorId="2" shapeId="0" xr:uid="{B9B53C72-9EEC-415B-B993-44C01A9967FA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packouts</t>
        </r>
      </text>
    </comment>
    <comment ref="H127" authorId="2" shapeId="0" xr:uid="{A358B573-9F99-4087-B541-BC92999020AD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$300+ per Gary 6/14
$356.14 per advances
Final packout</t>
        </r>
      </text>
    </comment>
    <comment ref="J127" authorId="2" shapeId="0" xr:uid="{9159163B-5AD6-41F7-BB13-4F1D174FE148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$300+ per Gary 6/14
$290.37 per advances
Final packout</t>
        </r>
      </text>
    </comment>
    <comment ref="K127" authorId="2" shapeId="0" xr:uid="{CEF54E51-23B6-4764-B8CA-788376047C41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final</t>
        </r>
      </text>
    </comment>
    <comment ref="L127" authorId="2" shapeId="0" xr:uid="{58145AC6-2F43-4402-AA64-03A5ACF7EA4E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Lori said we should expect $242,000 for our valencias
</t>
        </r>
      </text>
    </comment>
    <comment ref="P127" authorId="2" shapeId="0" xr:uid="{7C659C32-C912-47E0-AB00-EBF3D76CE055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$200 per Gary 6/14
$238.29 per advance
</t>
        </r>
      </text>
    </comment>
    <comment ref="Q127" authorId="2" shapeId="0" xr:uid="{91E8FA9A-1AC9-4020-9BB1-409EFEBA0936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$250 per Gary 6/14
$202.27 per advances
Per final packout
</t>
        </r>
      </text>
    </comment>
    <comment ref="S127" authorId="2" shapeId="0" xr:uid="{915D3120-A6DB-4847-9F82-1BE8DDFF41F6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$300+ per Gary 6/14
$356.72 per advances</t>
        </r>
      </text>
    </comment>
    <comment ref="U127" authorId="2" shapeId="0" xr:uid="{B280464E-3076-4A98-8473-D2060ECD865D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$200 per Gary 6/14
$118.18 per advances</t>
        </r>
      </text>
    </comment>
    <comment ref="H138" authorId="2" shapeId="0" xr:uid="{954304BE-D77C-401C-B854-FEF240D4045B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Final packout</t>
        </r>
      </text>
    </comment>
    <comment ref="I138" authorId="2" shapeId="0" xr:uid="{F334043B-1FA7-4596-B10C-77F0ED3C5FBE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advance</t>
        </r>
      </text>
    </comment>
    <comment ref="J138" authorId="2" shapeId="0" xr:uid="{A6A03534-3F9D-45AE-8338-97E341A3CB13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Final packout</t>
        </r>
      </text>
    </comment>
    <comment ref="K138" authorId="2" shapeId="0" xr:uid="{1CF8FE06-CF3E-4AEB-A8D9-4977CF0FC264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final</t>
        </r>
      </text>
    </comment>
    <comment ref="L138" authorId="2" shapeId="0" xr:uid="{1C71354C-0F21-4E75-A645-B14EAC61A369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Final
</t>
        </r>
      </text>
    </comment>
    <comment ref="M138" authorId="2" shapeId="0" xr:uid="{C2BB5FCC-A4D6-415C-8851-5DA942F3EC52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Final</t>
        </r>
      </text>
    </comment>
    <comment ref="N138" authorId="2" shapeId="0" xr:uid="{EF39BA19-17E8-4EE4-B884-C2526C594BF8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Final</t>
        </r>
      </text>
    </comment>
    <comment ref="O138" authorId="2" shapeId="0" xr:uid="{BB206543-0490-4808-9448-7F566C4D6436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Final</t>
        </r>
      </text>
    </comment>
    <comment ref="P138" authorId="2" shapeId="0" xr:uid="{57F20B6B-C77E-40DB-845D-59DF56AAEA9A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final</t>
        </r>
      </text>
    </comment>
    <comment ref="Q138" authorId="2" shapeId="0" xr:uid="{1765B84F-D073-43F3-B8DF-3638F59A2A4A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final</t>
        </r>
      </text>
    </comment>
    <comment ref="R138" authorId="2" shapeId="0" xr:uid="{35896E01-7D0A-4348-80A2-408F539381E5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FINAL</t>
        </r>
      </text>
    </comment>
    <comment ref="S138" authorId="2" shapeId="0" xr:uid="{B2120EB0-D7A9-4B0C-8C81-E4C9335B6A72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per final</t>
        </r>
      </text>
    </comment>
    <comment ref="T138" authorId="2" shapeId="0" xr:uid="{4AAECA6B-7DD6-45B9-B683-AE4339E671A0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FINAL</t>
        </r>
      </text>
    </comment>
    <comment ref="U138" authorId="2" shapeId="0" xr:uid="{83FCB5FE-06A4-454A-A9CA-922FBF3295A5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final</t>
        </r>
      </text>
    </comment>
    <comment ref="X138" authorId="2" shapeId="0" xr:uid="{DCAA25BF-A5B3-4856-8C0A-BB625E238048}">
      <text>
        <r>
          <rPr>
            <b/>
            <sz val="9"/>
            <color indexed="81"/>
            <rFont val="Tahoma"/>
            <family val="2"/>
          </rPr>
          <t>Kellie Slater:</t>
        </r>
        <r>
          <rPr>
            <sz val="9"/>
            <color indexed="81"/>
            <rFont val="Tahoma"/>
            <family val="2"/>
          </rPr>
          <t xml:space="preserve">
FINAL</t>
        </r>
      </text>
    </comment>
    <comment ref="E162" authorId="3" shapeId="0" xr:uid="{DC73F085-4F90-4DA6-9A0B-54172A913AA5}">
      <text>
        <r>
          <rPr>
            <b/>
            <sz val="9"/>
            <color indexed="81"/>
            <rFont val="Tahoma"/>
            <family val="2"/>
          </rPr>
          <t>Meagan Slater:</t>
        </r>
        <r>
          <rPr>
            <sz val="9"/>
            <color indexed="81"/>
            <rFont val="Tahoma"/>
            <family val="2"/>
          </rPr>
          <t xml:space="preserve">
From 2025 Pool, Statements</t>
        </r>
      </text>
    </comment>
    <comment ref="K171" authorId="3" shapeId="0" xr:uid="{AF3D078C-55B5-41A9-9730-1FDF9A86A40C}">
      <text>
        <r>
          <rPr>
            <sz val="11"/>
            <color theme="1"/>
            <rFont val="Calibri"/>
            <family val="2"/>
            <scheme val="minor"/>
          </rPr>
          <t xml:space="preserve">Meagan Slater:
Juice is $150 so this could be $175 per tim
</t>
        </r>
      </text>
    </comment>
    <comment ref="X171" authorId="3" shapeId="0" xr:uid="{010A2327-27C0-4610-895E-5EBD607B36C1}">
      <text>
        <r>
          <rPr>
            <sz val="11"/>
            <color theme="1"/>
            <rFont val="Calibri"/>
            <family val="2"/>
            <scheme val="minor"/>
          </rPr>
          <t xml:space="preserve">Meagan Slater:
gary is hoping for 100, nut is nervous
</t>
        </r>
      </text>
    </comment>
    <comment ref="E182" authorId="3" shapeId="0" xr:uid="{0B7B8733-9959-4F99-9B7A-668D30CA86A3}">
      <text>
        <r>
          <rPr>
            <b/>
            <sz val="9"/>
            <color indexed="81"/>
            <rFont val="Tahoma"/>
            <family val="2"/>
          </rPr>
          <t>Meagan Slater:</t>
        </r>
        <r>
          <rPr>
            <sz val="9"/>
            <color indexed="81"/>
            <rFont val="Tahoma"/>
            <family val="2"/>
          </rPr>
          <t xml:space="preserve">
From 2025 Pool, Statements</t>
        </r>
      </text>
    </comment>
    <comment ref="V182" authorId="3" shapeId="0" xr:uid="{57E6FAC1-9BA8-432C-9696-1DD7A2FE7819}">
      <text>
        <r>
          <rPr>
            <b/>
            <sz val="9"/>
            <color indexed="81"/>
            <rFont val="Tahoma"/>
            <family val="2"/>
          </rPr>
          <t>Meagan Slater:</t>
        </r>
        <r>
          <rPr>
            <sz val="9"/>
            <color indexed="81"/>
            <rFont val="Tahoma"/>
            <family val="2"/>
          </rPr>
          <t xml:space="preserve">
No separate packout statement for last year so using the same # as Block 13W
</t>
        </r>
      </text>
    </comment>
    <comment ref="E186" authorId="3" shapeId="0" xr:uid="{EB0FCD58-76CC-491A-A82B-AA0B0A9C8E49}">
      <text>
        <r>
          <rPr>
            <b/>
            <sz val="9"/>
            <color indexed="81"/>
            <rFont val="Tahoma"/>
            <family val="2"/>
          </rPr>
          <t>Meagan Slater:</t>
        </r>
        <r>
          <rPr>
            <sz val="9"/>
            <color indexed="81"/>
            <rFont val="Tahoma"/>
            <family val="2"/>
          </rPr>
          <t xml:space="preserve">
Accounts for young age of some lots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slater</author>
  </authors>
  <commentList>
    <comment ref="D2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slater:</t>
        </r>
        <r>
          <rPr>
            <sz val="9"/>
            <color indexed="81"/>
            <rFont val="Tahoma"/>
            <family val="2"/>
          </rPr>
          <t xml:space="preserve">
Pickers this year were very scarce so Sun Pacific had to pay a bonus to keep their pickers. This is for all blocks and covers the whole season.</t>
        </r>
      </text>
    </comment>
  </commentList>
</comments>
</file>

<file path=xl/sharedStrings.xml><?xml version="1.0" encoding="utf-8"?>
<sst xmlns="http://schemas.openxmlformats.org/spreadsheetml/2006/main" count="1397" uniqueCount="343">
  <si>
    <t>Block 1 (OLD)</t>
  </si>
  <si>
    <t>Block 2 (OLD)</t>
  </si>
  <si>
    <t>Block 1</t>
  </si>
  <si>
    <t>Block 2a</t>
  </si>
  <si>
    <t>Block 2b</t>
  </si>
  <si>
    <t>Block 3</t>
  </si>
  <si>
    <t>Block 4 (1)</t>
  </si>
  <si>
    <t>Block 5 (6W)</t>
  </si>
  <si>
    <t>Block 6 (6M)</t>
  </si>
  <si>
    <t>Block 7 (6E)</t>
  </si>
  <si>
    <t>Block 8</t>
  </si>
  <si>
    <t>Block 9</t>
  </si>
  <si>
    <t>Block 10</t>
  </si>
  <si>
    <t>Block 11</t>
  </si>
  <si>
    <t>Block 12</t>
  </si>
  <si>
    <t>Block 13W</t>
  </si>
  <si>
    <t>Block 14</t>
  </si>
  <si>
    <t>Block 15</t>
  </si>
  <si>
    <t>Block 16L</t>
  </si>
  <si>
    <t>Block 17</t>
  </si>
  <si>
    <t>Block 18</t>
  </si>
  <si>
    <t>Block 19</t>
  </si>
  <si>
    <t>Atwood</t>
  </si>
  <si>
    <t>Washington</t>
  </si>
  <si>
    <t>Clementines</t>
  </si>
  <si>
    <t>Tangos</t>
  </si>
  <si>
    <t>Valencia</t>
  </si>
  <si>
    <t>Late Lane</t>
  </si>
  <si>
    <t>Cara Caras</t>
  </si>
  <si>
    <t>Powells</t>
  </si>
  <si>
    <t>Lemons</t>
  </si>
  <si>
    <t>Washingtons</t>
  </si>
  <si>
    <t>Grapefruit</t>
  </si>
  <si>
    <t>Total</t>
  </si>
  <si>
    <t>Other</t>
  </si>
  <si>
    <t>Year Planted</t>
  </si>
  <si>
    <t>???</t>
  </si>
  <si>
    <t>Planted Acres</t>
  </si>
  <si>
    <t>Citrus</t>
  </si>
  <si>
    <t>Revenue</t>
  </si>
  <si>
    <t>Olives</t>
  </si>
  <si>
    <t>Total Field Boxes</t>
  </si>
  <si>
    <t>Field Boxes Per Acre</t>
  </si>
  <si>
    <t>Total Bins (Tons)</t>
  </si>
  <si>
    <t>Bins per Acre</t>
  </si>
  <si>
    <t>$ / Bin</t>
  </si>
  <si>
    <t>Total Revenue</t>
  </si>
  <si>
    <t>Checks Received</t>
  </si>
  <si>
    <t>Estimated Revenue</t>
  </si>
  <si>
    <t>c</t>
  </si>
  <si>
    <t>Does not match quickbooks. Also, Blk 2 revenue does not match the final growers report</t>
  </si>
  <si>
    <t>Total is accurate, but Blk3 is inaccurate. Based on the final grower statement the revenue should be $117,373.48</t>
  </si>
  <si>
    <t>Sun Pacific Equity Adj</t>
  </si>
  <si>
    <t>Total Adjusted Revenue</t>
  </si>
  <si>
    <t>Adjusted $/Bin</t>
  </si>
  <si>
    <t>Check Date</t>
  </si>
  <si>
    <t>Block</t>
  </si>
  <si>
    <t>Amount</t>
  </si>
  <si>
    <t>Month</t>
  </si>
  <si>
    <t>Bins</t>
  </si>
  <si>
    <t>$/bin</t>
  </si>
  <si>
    <t>Packhouse</t>
  </si>
  <si>
    <t>Comments</t>
  </si>
  <si>
    <t>2025 Total Check Amount</t>
  </si>
  <si>
    <t>2025 Bins</t>
  </si>
  <si>
    <t>2025 $/Bin</t>
  </si>
  <si>
    <t>Final/Not Final</t>
  </si>
  <si>
    <t>Notes</t>
  </si>
  <si>
    <t>DEC</t>
  </si>
  <si>
    <t>Sun Pacific</t>
  </si>
  <si>
    <t>CLM ADV</t>
  </si>
  <si>
    <t>Final</t>
  </si>
  <si>
    <t>NAV ADV</t>
  </si>
  <si>
    <t>Block 2A</t>
  </si>
  <si>
    <t>Block 2B</t>
  </si>
  <si>
    <t>OCT/NOV</t>
  </si>
  <si>
    <t>LEM ADV</t>
  </si>
  <si>
    <t>Block 4</t>
  </si>
  <si>
    <t>Block 5</t>
  </si>
  <si>
    <t>Block 6</t>
  </si>
  <si>
    <t>Block 18W</t>
  </si>
  <si>
    <t>JAN</t>
  </si>
  <si>
    <t>Block 7</t>
  </si>
  <si>
    <t>Block 19C</t>
  </si>
  <si>
    <t>CAR ADV</t>
  </si>
  <si>
    <t>NOV/DEC</t>
  </si>
  <si>
    <t>Final CLEM</t>
  </si>
  <si>
    <t>FEB</t>
  </si>
  <si>
    <t>MUR ADV</t>
  </si>
  <si>
    <t>Grouped with Blk 3</t>
  </si>
  <si>
    <t>N/A</t>
  </si>
  <si>
    <t>NAV EQ Pick Adj</t>
  </si>
  <si>
    <t>Favorable AR</t>
  </si>
  <si>
    <t>MAR</t>
  </si>
  <si>
    <t>APR</t>
  </si>
  <si>
    <t>Jirah</t>
  </si>
  <si>
    <t>NAVEL BLk 3316003</t>
  </si>
  <si>
    <t>Valencia BLk 3316007</t>
  </si>
  <si>
    <t>MAY</t>
  </si>
  <si>
    <t>Quickbooks Total</t>
  </si>
  <si>
    <t>Delta</t>
  </si>
  <si>
    <t>Est Total</t>
  </si>
  <si>
    <t>Est Amount Remaining</t>
  </si>
  <si>
    <t>Jireh</t>
  </si>
  <si>
    <t>GRPFRT</t>
  </si>
  <si>
    <t>JUN</t>
  </si>
  <si>
    <t>BLK 3 Wash Navel</t>
  </si>
  <si>
    <t>FINAL NAV</t>
  </si>
  <si>
    <t>Total Check Amount</t>
  </si>
  <si>
    <t>Est $/Bin</t>
  </si>
  <si>
    <t>Oct/Nov</t>
  </si>
  <si>
    <t>LEM ADV 12 OCT/NOV PACKS</t>
  </si>
  <si>
    <t>where did I get the bins from?</t>
  </si>
  <si>
    <t>Poor packout because the fruit was oversized and the fruit dried out internally. Cutting back on water next year - per Tim</t>
  </si>
  <si>
    <t>Dec</t>
  </si>
  <si>
    <t>LEM ADV 12 DEC PACKS</t>
  </si>
  <si>
    <t>LEM ADV 16W DEC PACKS</t>
  </si>
  <si>
    <t>NAV ADV 13W DEC PACKS</t>
  </si>
  <si>
    <t>CLM ADV 1 DEC PACKS</t>
  </si>
  <si>
    <t>CLM ADV 2B DEC PACKS</t>
  </si>
  <si>
    <t>CAR ADV 9 DEC PACKS</t>
  </si>
  <si>
    <t>Jan</t>
  </si>
  <si>
    <t>CAR ADV 9 - JAN PACKS</t>
  </si>
  <si>
    <t>March</t>
  </si>
  <si>
    <t>MUR ADV 2A - MAR PACKS</t>
  </si>
  <si>
    <t>FINAL CLEM</t>
  </si>
  <si>
    <t>April</t>
  </si>
  <si>
    <t>MUR ADV 11 - APR PACKS</t>
  </si>
  <si>
    <t>NAV AVD 10 - APR PACKS</t>
  </si>
  <si>
    <t>CAR ADV 9 - ARP PACKS</t>
  </si>
  <si>
    <t>May</t>
  </si>
  <si>
    <t>MUR ADV 11 - MAY PACKS</t>
  </si>
  <si>
    <t>MUR ADV 2A - MAY PACKS</t>
  </si>
  <si>
    <t>LEM ADV 12 - MAY PACKS</t>
  </si>
  <si>
    <t>CAR ADV 9 - MAY PACKS</t>
  </si>
  <si>
    <t>McFarlin Family Farms</t>
  </si>
  <si>
    <t>5 BINS OF TANGOS</t>
  </si>
  <si>
    <t>Favorable AR (Sun Pacific)</t>
  </si>
  <si>
    <t>Jun</t>
  </si>
  <si>
    <t>MUR ADV 2A - JUN PACKS</t>
  </si>
  <si>
    <t>2019 Revolving Fund Dist</t>
  </si>
  <si>
    <t>NAV ADV 8 - JUN PACKS</t>
  </si>
  <si>
    <t>FINAL CAR</t>
  </si>
  <si>
    <t>BLK 3 WASH NAVEL</t>
  </si>
  <si>
    <t>Progress</t>
  </si>
  <si>
    <t>POOL J23CV01 BLCK 3316004 PROGRESS PAY</t>
  </si>
  <si>
    <t>POOL J23CV01 BLCK 3316005 PROGRESS PAY</t>
  </si>
  <si>
    <t>POOL J23CV01 BLCK 3316006 PROGRESS PAY</t>
  </si>
  <si>
    <t>POOL J23CV01 BLCK 3316007 PROGRESS PAY</t>
  </si>
  <si>
    <t>FINAL MUR 24MRL01</t>
  </si>
  <si>
    <t>From $27,941.80 invoice</t>
  </si>
  <si>
    <t>FINAL MUR 24MRL02</t>
  </si>
  <si>
    <t>FINAL MUR 24MUR01</t>
  </si>
  <si>
    <t>From $32,700.16 invoice</t>
  </si>
  <si>
    <t>FINAL MUR 24MUR02</t>
  </si>
  <si>
    <t>FINAL NAV 24GML04</t>
  </si>
  <si>
    <t>FINAL NAV 24LTH06</t>
  </si>
  <si>
    <t>FINAL LEM 24LEM01</t>
  </si>
  <si>
    <t>From $32,507.17 invoice</t>
  </si>
  <si>
    <t>Blk 4 Valencia</t>
  </si>
  <si>
    <t>Blk 5 Valencia</t>
  </si>
  <si>
    <t>Blk 6 Valencia</t>
  </si>
  <si>
    <t>Blk 7 Valencia</t>
  </si>
  <si>
    <t>75% advance</t>
  </si>
  <si>
    <t>20% juice</t>
  </si>
  <si>
    <t>Feb</t>
  </si>
  <si>
    <t>13% juice</t>
  </si>
  <si>
    <t>87% was fancy, only 10% juice</t>
  </si>
  <si>
    <t>40% juice</t>
  </si>
  <si>
    <t>31% juice, 67% fancy</t>
  </si>
  <si>
    <t>65% advance // 37% juice</t>
  </si>
  <si>
    <t>35% juice</t>
  </si>
  <si>
    <t>50% advance</t>
  </si>
  <si>
    <t>June</t>
  </si>
  <si>
    <t>Valencias</t>
  </si>
  <si>
    <t>Thru 9/22</t>
  </si>
  <si>
    <t xml:space="preserve">Block 8 </t>
  </si>
  <si>
    <t>Equity Adj (Sun Pacific)</t>
  </si>
  <si>
    <t>2022 Equity Adj (Villa Park)</t>
  </si>
  <si>
    <t>21-22 Equity Adj (Sun Pacific)</t>
  </si>
  <si>
    <t>60% advance</t>
  </si>
  <si>
    <t>Lori at Villa Park said we should expect $242,000 for our valencias</t>
  </si>
  <si>
    <t>Final (138 bins)</t>
  </si>
  <si>
    <t>Final (350 bins)</t>
  </si>
  <si>
    <t>Final (308 bins)</t>
  </si>
  <si>
    <t>Final (861 bins)</t>
  </si>
  <si>
    <t>Caras</t>
  </si>
  <si>
    <t>Dec packs</t>
  </si>
  <si>
    <t>Dec Packs</t>
  </si>
  <si>
    <t>Jan Packs</t>
  </si>
  <si>
    <t>Feb Packs</t>
  </si>
  <si>
    <t>March Packs</t>
  </si>
  <si>
    <t>April Packs</t>
  </si>
  <si>
    <t>Final Clem</t>
  </si>
  <si>
    <t>May Packs</t>
  </si>
  <si>
    <t>50% advance per Tamara</t>
  </si>
  <si>
    <t>50% advance on fruit received thru 9/18</t>
  </si>
  <si>
    <t>Final Lemons</t>
  </si>
  <si>
    <t>Final Caras</t>
  </si>
  <si>
    <t>Final Block 11</t>
  </si>
  <si>
    <t>Final Block 2A</t>
  </si>
  <si>
    <t>Pool 4</t>
  </si>
  <si>
    <t>Pool 6</t>
  </si>
  <si>
    <t>Final on 2/26/20 packs (289 bins)</t>
  </si>
  <si>
    <t>for 301 bins</t>
  </si>
  <si>
    <t>only thru 9/21/20 - they estimate $283,000 for 2,283 bins</t>
  </si>
  <si>
    <t xml:space="preserve">Final packout on 375 bins </t>
  </si>
  <si>
    <t>Final packout</t>
  </si>
  <si>
    <t>Oct/Nov advance (346.75 bins)</t>
  </si>
  <si>
    <t>Dec/Jan advance (197 bins)</t>
  </si>
  <si>
    <t>Feb advance (160 bins)</t>
  </si>
  <si>
    <t>Feb advance (298.5 bins)</t>
  </si>
  <si>
    <t>Feb advance (86 bins)</t>
  </si>
  <si>
    <t>March advance (100 bins)</t>
  </si>
  <si>
    <t>March advance (196 bins)</t>
  </si>
  <si>
    <t>March advance (171 bins)</t>
  </si>
  <si>
    <t>April advance (176 bins)</t>
  </si>
  <si>
    <t>April advance (178 bins)</t>
  </si>
  <si>
    <t>May advance (403 bins)</t>
  </si>
  <si>
    <t>June advance (130 bins)</t>
  </si>
  <si>
    <t>July advance (548 bins)</t>
  </si>
  <si>
    <t>Final Cara Cara</t>
  </si>
  <si>
    <t xml:space="preserve">Final </t>
  </si>
  <si>
    <t>Final Block 8 (548 bins)</t>
  </si>
  <si>
    <t>Final Block 8 (176 bins)</t>
  </si>
  <si>
    <t>Final Block 10 (403 bins)</t>
  </si>
  <si>
    <t>Final June (103 bins)</t>
  </si>
  <si>
    <t>Oct/Nov advance (270 bins)</t>
  </si>
  <si>
    <t>Clementines advance</t>
  </si>
  <si>
    <t>Jan advance (215 bins)</t>
  </si>
  <si>
    <t>Jan advance ([  ] bins)</t>
  </si>
  <si>
    <t>Clementines (total)</t>
  </si>
  <si>
    <t>300 bins</t>
  </si>
  <si>
    <t>March advance (35 bins)</t>
  </si>
  <si>
    <t>April advance (300 bins)</t>
  </si>
  <si>
    <t>May advance (114 bins)</t>
  </si>
  <si>
    <t>May advance (668 bins)</t>
  </si>
  <si>
    <t>final for 300 bins</t>
  </si>
  <si>
    <t>final for all 820 bins</t>
  </si>
  <si>
    <t>final for 216 bins</t>
  </si>
  <si>
    <t>final for 350 bins</t>
  </si>
  <si>
    <t>final for 318 bins</t>
  </si>
  <si>
    <t>final for 114 bins</t>
  </si>
  <si>
    <t>50% advance for valencias picked through 9/21 (1,136 bins)</t>
  </si>
  <si>
    <t>Implied</t>
  </si>
  <si>
    <t>Advance</t>
  </si>
  <si>
    <t>Weighted Avg</t>
  </si>
  <si>
    <t>Pool 2</t>
  </si>
  <si>
    <t>Pool 1</t>
  </si>
  <si>
    <t>April packs advance - 100 bins</t>
  </si>
  <si>
    <t>May packs advance - 594 bins</t>
  </si>
  <si>
    <t>Block 2</t>
  </si>
  <si>
    <t>Pool 3</t>
  </si>
  <si>
    <t>Pool 5</t>
  </si>
  <si>
    <t>I don’t think this should be Block 3</t>
  </si>
  <si>
    <t>Feb Packout</t>
  </si>
  <si>
    <t>March Packout</t>
  </si>
  <si>
    <t>April Packout</t>
  </si>
  <si>
    <t>May Packout</t>
  </si>
  <si>
    <t>Closing out Pool 1</t>
  </si>
  <si>
    <t>Korea Protocol</t>
  </si>
  <si>
    <t>All Blocks</t>
  </si>
  <si>
    <t>Picking Bonus Charge</t>
  </si>
  <si>
    <t>Misc</t>
  </si>
  <si>
    <t>MAR-JUN</t>
  </si>
  <si>
    <t>MAR-MAY</t>
  </si>
  <si>
    <t>FEB-MAY</t>
  </si>
  <si>
    <t>FINAL MUR</t>
  </si>
  <si>
    <t>FINAL Car</t>
  </si>
  <si>
    <t>JAN-May</t>
  </si>
  <si>
    <t>FINAL</t>
  </si>
  <si>
    <t>The final packouts are weird- so double check</t>
  </si>
  <si>
    <t>Equity Adjustment</t>
  </si>
  <si>
    <t>CLM-Blk1-ADV-DEC</t>
  </si>
  <si>
    <t>CLM-Blk2B-ADV-DEC</t>
  </si>
  <si>
    <t>LEM-Blk12-ADV-OCT/NOV</t>
  </si>
  <si>
    <t>LEM-Blk16L-ADV-OCT/NOV</t>
  </si>
  <si>
    <t>CLM-Blk1-ADV-OCT/NOV</t>
  </si>
  <si>
    <t>CLM-Blk2B-ADV-OCT/NOV</t>
  </si>
  <si>
    <t>Commodity</t>
  </si>
  <si>
    <t>bin</t>
  </si>
  <si>
    <t>RMA Yield to Bins/Acre Converter</t>
  </si>
  <si>
    <t>Commodity:</t>
  </si>
  <si>
    <t>RMA Yield (CTN/Acre):</t>
  </si>
  <si>
    <t>Yield (Bins/Acre):</t>
  </si>
  <si>
    <t>PH CTN/Bin</t>
  </si>
  <si>
    <t>PH Lbs/Bin</t>
  </si>
  <si>
    <t>RMA Lb/CTN</t>
  </si>
  <si>
    <t>Washington (Jireh)</t>
  </si>
  <si>
    <t>Formula: (RMA CTN/Acre) × (RMA Lb/CTN) ÷ (PH Lbs/Bin)</t>
  </si>
  <si>
    <t>$/CTN to $/Bin Converter</t>
  </si>
  <si>
    <t>$/CTN (RMA):</t>
  </si>
  <si>
    <t>$/Bin:</t>
  </si>
  <si>
    <t>Formula: ($/CTN) × (PH Lbs/Bin) ÷ (RMA Lb/CTN)</t>
  </si>
  <si>
    <t>2026E</t>
  </si>
  <si>
    <t>ctn (5lb)</t>
  </si>
  <si>
    <t>ctn (25lb)</t>
  </si>
  <si>
    <t>ctn (25/lb)/bin</t>
  </si>
  <si>
    <t>$/CTN</t>
  </si>
  <si>
    <t>Total $</t>
  </si>
  <si>
    <t>Bins (Actual)</t>
  </si>
  <si>
    <t>$/Bin (Est)</t>
  </si>
  <si>
    <t>Bins per Acre (Actual)</t>
  </si>
  <si>
    <t>$ / Bin (Actual)</t>
  </si>
  <si>
    <t>$/Acre (Actual)</t>
  </si>
  <si>
    <t>Revenue (Actual)</t>
  </si>
  <si>
    <t>Revenue (Est)</t>
  </si>
  <si>
    <t>RMA $/CTN</t>
  </si>
  <si>
    <t>RMA CTN/Acre</t>
  </si>
  <si>
    <t xml:space="preserve">RMA Bins </t>
  </si>
  <si>
    <t>Packhouse Charge %</t>
  </si>
  <si>
    <t>Adj Revenue (Est)</t>
  </si>
  <si>
    <t>NAV-Blk13W-ADV-FEB</t>
  </si>
  <si>
    <t>NAV-Blk18W-ADV-FEB</t>
  </si>
  <si>
    <t>MUR-Blk17-ADV-FEB</t>
  </si>
  <si>
    <t>CAR-Blk9-ADV-FEB</t>
  </si>
  <si>
    <t>CLM-Blk1-ADV-JAN</t>
  </si>
  <si>
    <t>LEM-Blk12-ADV-JAN</t>
  </si>
  <si>
    <t>MUR-Blk11-ADV-JAN</t>
  </si>
  <si>
    <t>MUR-Blk2A-ADV-JAN</t>
  </si>
  <si>
    <t>LEM-Blk16L-ADV-JAN</t>
  </si>
  <si>
    <t>CAR-Blk19C-ADV-JAN</t>
  </si>
  <si>
    <t>CLM-Blk2B-ADV-JAN</t>
  </si>
  <si>
    <t>SR-Blk15</t>
  </si>
  <si>
    <t>CLM-Blk 1- FINAL- BINS: 566</t>
  </si>
  <si>
    <t>CLM-Blk 2B- FINAL- BINS: 428</t>
  </si>
  <si>
    <t>130-150</t>
  </si>
  <si>
    <t>200-225</t>
  </si>
  <si>
    <t>Lates</t>
  </si>
  <si>
    <t>150-200</t>
  </si>
  <si>
    <t>Cara</t>
  </si>
  <si>
    <t>Gary's Predictions</t>
  </si>
  <si>
    <t>2A</t>
  </si>
  <si>
    <t>16</t>
  </si>
  <si>
    <t>12</t>
  </si>
  <si>
    <t>8</t>
  </si>
  <si>
    <t>10</t>
  </si>
  <si>
    <t>9</t>
  </si>
  <si>
    <t>19</t>
  </si>
  <si>
    <t>Total Bins</t>
  </si>
  <si>
    <t>RMA</t>
  </si>
  <si>
    <t>Gary's Prediction Used</t>
  </si>
  <si>
    <t>EST 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</si>
</sst>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&quot;Block&quot;\ #"/>
    <numFmt numFmtId="167" formatCode="##\ &quot;Acres&quot;"/>
    <numFmt numFmtId="168" formatCode="##.#\ &quot;Acres&quot;"/>
    <numFmt numFmtId="169" formatCode="###\ &quot;bins&quot;"/>
    <numFmt numFmtId="170" formatCode="mm/dd/yy;@"/>
    <numFmt numFmtId="171" formatCode="#,##0.000"/>
    <numFmt numFmtId="172" formatCode="0.0"/>
    <numFmt numFmtId="173" formatCode="0.0%"/>
    <numFmt numFmtId="174" formatCode="#,##0.0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CC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"/>
      <color rgb="FF80808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10" fillId="0" borderId="0"/>
    <xf numFmtId="44" fontId="6" fillId="0" borderId="0" applyFont="0" applyFill="0" applyBorder="0" applyAlignment="0" applyProtection="0"/>
  </cellStyleXfs>
  <cellXfs count="188">
    <xf numFmtId="0" fontId="0" fillId="0" borderId="0" xfId="0"/>
    <xf numFmtId="0" fontId="3" fillId="0" borderId="0" xfId="0" applyFont="1"/>
    <xf numFmtId="0" fontId="3" fillId="0" borderId="9" xfId="0" applyFont="1" applyBorder="1" applyAlignment="1">
      <alignment horizontal="center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65" fontId="0" fillId="0" borderId="0" xfId="0" applyNumberFormat="1"/>
    <xf numFmtId="0" fontId="3" fillId="0" borderId="0" xfId="0" applyFont="1" applyAlignment="1">
      <alignment horizontal="center"/>
    </xf>
    <xf numFmtId="14" fontId="0" fillId="0" borderId="0" xfId="0" applyNumberFormat="1"/>
    <xf numFmtId="165" fontId="3" fillId="0" borderId="10" xfId="0" applyNumberFormat="1" applyFont="1" applyBorder="1"/>
    <xf numFmtId="3" fontId="0" fillId="0" borderId="0" xfId="0" applyNumberFormat="1"/>
    <xf numFmtId="0" fontId="0" fillId="4" borderId="0" xfId="0" applyFill="1"/>
    <xf numFmtId="165" fontId="0" fillId="4" borderId="0" xfId="0" applyNumberFormat="1" applyFill="1"/>
    <xf numFmtId="165" fontId="3" fillId="4" borderId="10" xfId="0" applyNumberFormat="1" applyFont="1" applyFill="1" applyBorder="1"/>
    <xf numFmtId="165" fontId="7" fillId="0" borderId="0" xfId="0" applyNumberFormat="1" applyFont="1"/>
    <xf numFmtId="165" fontId="3" fillId="0" borderId="0" xfId="0" applyNumberFormat="1" applyFont="1"/>
    <xf numFmtId="4" fontId="0" fillId="0" borderId="0" xfId="0" applyNumberFormat="1"/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center"/>
    </xf>
    <xf numFmtId="0" fontId="11" fillId="0" borderId="0" xfId="0" applyFont="1"/>
    <xf numFmtId="0" fontId="12" fillId="2" borderId="0" xfId="0" applyFont="1" applyFill="1"/>
    <xf numFmtId="0" fontId="12" fillId="0" borderId="0" xfId="0" applyFont="1"/>
    <xf numFmtId="0" fontId="12" fillId="0" borderId="2" xfId="0" applyFont="1" applyBorder="1"/>
    <xf numFmtId="0" fontId="1" fillId="2" borderId="0" xfId="0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3" fillId="0" borderId="10" xfId="0" applyFont="1" applyBorder="1"/>
    <xf numFmtId="3" fontId="13" fillId="0" borderId="0" xfId="0" applyNumberFormat="1" applyFont="1"/>
    <xf numFmtId="3" fontId="14" fillId="0" borderId="0" xfId="0" applyNumberFormat="1" applyFont="1"/>
    <xf numFmtId="164" fontId="14" fillId="3" borderId="0" xfId="0" applyNumberFormat="1" applyFont="1" applyFill="1"/>
    <xf numFmtId="164" fontId="14" fillId="0" borderId="7" xfId="0" applyNumberFormat="1" applyFont="1" applyBorder="1"/>
    <xf numFmtId="164" fontId="14" fillId="0" borderId="0" xfId="0" applyNumberFormat="1" applyFont="1"/>
    <xf numFmtId="164" fontId="14" fillId="0" borderId="2" xfId="0" applyNumberFormat="1" applyFont="1" applyBorder="1"/>
    <xf numFmtId="3" fontId="15" fillId="0" borderId="0" xfId="0" applyNumberFormat="1" applyFont="1"/>
    <xf numFmtId="164" fontId="15" fillId="3" borderId="0" xfId="0" applyNumberFormat="1" applyFont="1" applyFill="1"/>
    <xf numFmtId="164" fontId="13" fillId="3" borderId="0" xfId="0" applyNumberFormat="1" applyFont="1" applyFill="1"/>
    <xf numFmtId="165" fontId="4" fillId="0" borderId="0" xfId="0" applyNumberFormat="1" applyFont="1"/>
    <xf numFmtId="0" fontId="3" fillId="0" borderId="0" xfId="0" applyFont="1" applyAlignment="1">
      <alignment horizontal="left"/>
    </xf>
    <xf numFmtId="171" fontId="14" fillId="0" borderId="0" xfId="0" applyNumberFormat="1" applyFont="1"/>
    <xf numFmtId="4" fontId="3" fillId="0" borderId="10" xfId="0" applyNumberFormat="1" applyFont="1" applyBorder="1"/>
    <xf numFmtId="4" fontId="3" fillId="0" borderId="0" xfId="0" applyNumberFormat="1" applyFont="1"/>
    <xf numFmtId="4" fontId="3" fillId="0" borderId="9" xfId="0" applyNumberFormat="1" applyFont="1" applyBorder="1"/>
    <xf numFmtId="4" fontId="0" fillId="4" borderId="0" xfId="0" applyNumberFormat="1" applyFill="1"/>
    <xf numFmtId="0" fontId="3" fillId="5" borderId="0" xfId="0" applyFont="1" applyFill="1"/>
    <xf numFmtId="3" fontId="14" fillId="5" borderId="0" xfId="0" applyNumberFormat="1" applyFont="1" applyFill="1"/>
    <xf numFmtId="0" fontId="0" fillId="5" borderId="0" xfId="0" applyFill="1" applyAlignment="1">
      <alignment horizontal="left" indent="1"/>
    </xf>
    <xf numFmtId="165" fontId="0" fillId="5" borderId="0" xfId="0" applyNumberFormat="1" applyFill="1"/>
    <xf numFmtId="3" fontId="16" fillId="5" borderId="0" xfId="0" applyNumberFormat="1" applyFont="1" applyFill="1"/>
    <xf numFmtId="165" fontId="16" fillId="5" borderId="0" xfId="0" applyNumberFormat="1" applyFont="1" applyFill="1"/>
    <xf numFmtId="4" fontId="0" fillId="0" borderId="0" xfId="0" applyNumberFormat="1" applyAlignment="1">
      <alignment horizontal="left" indent="1"/>
    </xf>
    <xf numFmtId="44" fontId="0" fillId="0" borderId="0" xfId="4" applyFont="1"/>
    <xf numFmtId="44" fontId="0" fillId="0" borderId="0" xfId="0" applyNumberFormat="1"/>
    <xf numFmtId="164" fontId="0" fillId="0" borderId="0" xfId="0" applyNumberFormat="1"/>
    <xf numFmtId="0" fontId="3" fillId="0" borderId="9" xfId="0" applyFont="1" applyBorder="1" applyAlignment="1">
      <alignment horizontal="left"/>
    </xf>
    <xf numFmtId="164" fontId="13" fillId="0" borderId="0" xfId="0" applyNumberFormat="1" applyFont="1"/>
    <xf numFmtId="3" fontId="7" fillId="5" borderId="0" xfId="0" applyNumberFormat="1" applyFont="1" applyFill="1"/>
    <xf numFmtId="165" fontId="7" fillId="5" borderId="0" xfId="0" applyNumberFormat="1" applyFont="1" applyFill="1"/>
    <xf numFmtId="164" fontId="3" fillId="0" borderId="0" xfId="0" applyNumberFormat="1" applyFont="1"/>
    <xf numFmtId="14" fontId="3" fillId="0" borderId="0" xfId="0" applyNumberFormat="1" applyFont="1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3" fillId="5" borderId="11" xfId="0" applyFont="1" applyFill="1" applyBorder="1" applyAlignment="1">
      <alignment horizontal="center"/>
    </xf>
    <xf numFmtId="44" fontId="3" fillId="5" borderId="11" xfId="0" applyNumberFormat="1" applyFont="1" applyFill="1" applyBorder="1" applyAlignment="1">
      <alignment horizontal="center"/>
    </xf>
    <xf numFmtId="4" fontId="3" fillId="0" borderId="9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5" fontId="3" fillId="4" borderId="0" xfId="0" applyNumberFormat="1" applyFont="1" applyFill="1"/>
    <xf numFmtId="0" fontId="16" fillId="0" borderId="0" xfId="0" applyFont="1"/>
    <xf numFmtId="165" fontId="16" fillId="0" borderId="0" xfId="0" applyNumberFormat="1" applyFont="1"/>
    <xf numFmtId="37" fontId="3" fillId="5" borderId="11" xfId="0" applyNumberFormat="1" applyFont="1" applyFill="1" applyBorder="1" applyAlignment="1">
      <alignment horizontal="center"/>
    </xf>
    <xf numFmtId="37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44" fontId="3" fillId="0" borderId="9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3" fillId="0" borderId="9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11" xfId="0" applyFont="1" applyBorder="1" applyAlignment="1">
      <alignment horizontal="center"/>
    </xf>
    <xf numFmtId="44" fontId="7" fillId="0" borderId="11" xfId="0" applyNumberFormat="1" applyFont="1" applyBorder="1" applyAlignment="1">
      <alignment horizontal="center"/>
    </xf>
    <xf numFmtId="37" fontId="7" fillId="0" borderId="11" xfId="0" applyNumberFormat="1" applyFont="1" applyBorder="1" applyAlignment="1">
      <alignment horizontal="center"/>
    </xf>
    <xf numFmtId="165" fontId="14" fillId="3" borderId="0" xfId="0" applyNumberFormat="1" applyFont="1" applyFill="1"/>
    <xf numFmtId="165" fontId="13" fillId="3" borderId="0" xfId="0" applyNumberFormat="1" applyFont="1" applyFill="1"/>
    <xf numFmtId="2" fontId="7" fillId="0" borderId="0" xfId="0" applyNumberFormat="1" applyFont="1" applyAlignment="1">
      <alignment horizontal="center"/>
    </xf>
    <xf numFmtId="2" fontId="0" fillId="6" borderId="0" xfId="0" applyNumberFormat="1" applyFill="1" applyAlignment="1">
      <alignment horizontal="center"/>
    </xf>
    <xf numFmtId="2" fontId="7" fillId="6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2" fontId="16" fillId="0" borderId="0" xfId="0" applyNumberFormat="1" applyFont="1" applyAlignment="1">
      <alignment horizontal="center"/>
    </xf>
    <xf numFmtId="44" fontId="0" fillId="0" borderId="11" xfId="0" applyNumberFormat="1" applyBorder="1" applyAlignment="1">
      <alignment horizontal="center"/>
    </xf>
    <xf numFmtId="0" fontId="6" fillId="2" borderId="0" xfId="0" applyFont="1" applyFill="1"/>
    <xf numFmtId="0" fontId="7" fillId="2" borderId="0" xfId="0" applyFont="1" applyFill="1"/>
    <xf numFmtId="168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0" fontId="6" fillId="0" borderId="0" xfId="0" applyFont="1"/>
    <xf numFmtId="167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0" fontId="6" fillId="0" borderId="1" xfId="0" applyFont="1" applyBorder="1"/>
    <xf numFmtId="0" fontId="6" fillId="0" borderId="2" xfId="0" applyFont="1" applyBorder="1"/>
    <xf numFmtId="167" fontId="1" fillId="0" borderId="2" xfId="0" applyNumberFormat="1" applyFont="1" applyBorder="1" applyAlignment="1">
      <alignment horizontal="center"/>
    </xf>
    <xf numFmtId="168" fontId="1" fillId="0" borderId="2" xfId="0" applyNumberFormat="1" applyFont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0" xfId="0" applyFont="1" applyAlignment="1">
      <alignment horizontal="left"/>
    </xf>
    <xf numFmtId="0" fontId="3" fillId="3" borderId="0" xfId="0" applyFont="1" applyFill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3" fontId="3" fillId="0" borderId="0" xfId="0" applyNumberFormat="1" applyFont="1"/>
    <xf numFmtId="3" fontId="6" fillId="0" borderId="0" xfId="0" applyNumberFormat="1" applyFont="1"/>
    <xf numFmtId="164" fontId="6" fillId="0" borderId="0" xfId="0" applyNumberFormat="1" applyFont="1"/>
    <xf numFmtId="0" fontId="6" fillId="5" borderId="0" xfId="0" applyFont="1" applyFill="1"/>
    <xf numFmtId="164" fontId="6" fillId="5" borderId="0" xfId="0" applyNumberFormat="1" applyFont="1" applyFill="1"/>
    <xf numFmtId="16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" fontId="14" fillId="0" borderId="0" xfId="0" applyNumberFormat="1" applyFont="1"/>
    <xf numFmtId="0" fontId="1" fillId="2" borderId="0" xfId="0" applyFont="1" applyFill="1" applyAlignment="1">
      <alignment horizontal="center" vertical="center" textRotation="90" wrapText="1"/>
    </xf>
    <xf numFmtId="0" fontId="7" fillId="6" borderId="11" xfId="0" applyFont="1" applyFill="1" applyBorder="1" applyAlignment="1">
      <alignment horizontal="center"/>
    </xf>
    <xf numFmtId="44" fontId="7" fillId="6" borderId="11" xfId="0" applyNumberFormat="1" applyFont="1" applyFill="1" applyBorder="1" applyAlignment="1">
      <alignment horizontal="center"/>
    </xf>
    <xf numFmtId="37" fontId="7" fillId="6" borderId="11" xfId="0" applyNumberFormat="1" applyFont="1" applyFill="1" applyBorder="1" applyAlignment="1">
      <alignment horizontal="center"/>
    </xf>
    <xf numFmtId="44" fontId="0" fillId="6" borderId="11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37" fontId="0" fillId="6" borderId="11" xfId="0" applyNumberFormat="1" applyFill="1" applyBorder="1" applyAlignment="1">
      <alignment horizontal="center"/>
    </xf>
    <xf numFmtId="164" fontId="18" fillId="3" borderId="0" xfId="0" applyNumberFormat="1" applyFont="1" applyFill="1"/>
    <xf numFmtId="8" fontId="0" fillId="0" borderId="0" xfId="0" applyNumberFormat="1" applyAlignment="1">
      <alignment horizontal="center"/>
    </xf>
    <xf numFmtId="44" fontId="14" fillId="6" borderId="11" xfId="0" applyNumberFormat="1" applyFont="1" applyFill="1" applyBorder="1" applyAlignment="1">
      <alignment horizontal="center"/>
    </xf>
    <xf numFmtId="44" fontId="3" fillId="6" borderId="11" xfId="0" applyNumberFormat="1" applyFont="1" applyFill="1" applyBorder="1" applyAlignment="1">
      <alignment horizontal="center"/>
    </xf>
    <xf numFmtId="44" fontId="14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37" fontId="0" fillId="0" borderId="11" xfId="0" applyNumberFormat="1" applyBorder="1" applyAlignment="1">
      <alignment horizontal="center"/>
    </xf>
    <xf numFmtId="165" fontId="6" fillId="0" borderId="7" xfId="0" applyNumberFormat="1" applyFont="1" applyBorder="1"/>
    <xf numFmtId="0" fontId="19" fillId="7" borderId="0" xfId="0" applyFont="1" applyFill="1" applyAlignment="1">
      <alignment horizontal="center"/>
    </xf>
    <xf numFmtId="172" fontId="0" fillId="0" borderId="0" xfId="0" applyNumberFormat="1"/>
    <xf numFmtId="0" fontId="20" fillId="0" borderId="0" xfId="0" applyFont="1"/>
    <xf numFmtId="0" fontId="3" fillId="0" borderId="0" xfId="0" applyFont="1" applyAlignment="1">
      <alignment horizontal="right"/>
    </xf>
    <xf numFmtId="0" fontId="13" fillId="4" borderId="0" xfId="0" applyFont="1" applyFill="1"/>
    <xf numFmtId="2" fontId="13" fillId="4" borderId="0" xfId="0" applyNumberFormat="1" applyFont="1" applyFill="1"/>
    <xf numFmtId="0" fontId="21" fillId="0" borderId="0" xfId="0" applyFont="1" applyAlignment="1">
      <alignment horizontal="right"/>
    </xf>
    <xf numFmtId="2" fontId="20" fillId="8" borderId="0" xfId="0" applyNumberFormat="1" applyFont="1" applyFill="1"/>
    <xf numFmtId="0" fontId="22" fillId="0" borderId="0" xfId="0" applyFont="1"/>
    <xf numFmtId="165" fontId="13" fillId="4" borderId="0" xfId="0" applyNumberFormat="1" applyFont="1" applyFill="1"/>
    <xf numFmtId="165" fontId="20" fillId="8" borderId="0" xfId="0" applyNumberFormat="1" applyFont="1" applyFill="1"/>
    <xf numFmtId="165" fontId="18" fillId="3" borderId="0" xfId="0" applyNumberFormat="1" applyFont="1" applyFill="1"/>
    <xf numFmtId="0" fontId="0" fillId="0" borderId="0" xfId="0" applyAlignment="1">
      <alignment horizontal="right"/>
    </xf>
    <xf numFmtId="1" fontId="6" fillId="0" borderId="0" xfId="0" applyNumberFormat="1" applyFont="1"/>
    <xf numFmtId="1" fontId="6" fillId="0" borderId="4" xfId="0" applyNumberFormat="1" applyFont="1" applyBorder="1"/>
    <xf numFmtId="1" fontId="3" fillId="0" borderId="0" xfId="0" applyNumberFormat="1" applyFont="1" applyAlignment="1">
      <alignment horizontal="left"/>
    </xf>
    <xf numFmtId="1" fontId="3" fillId="0" borderId="0" xfId="0" applyNumberFormat="1" applyFont="1"/>
    <xf numFmtId="1" fontId="6" fillId="0" borderId="5" xfId="0" applyNumberFormat="1" applyFont="1" applyBorder="1"/>
    <xf numFmtId="1" fontId="11" fillId="0" borderId="0" xfId="0" applyNumberFormat="1" applyFont="1"/>
    <xf numFmtId="165" fontId="6" fillId="0" borderId="0" xfId="0" applyNumberFormat="1" applyFont="1"/>
    <xf numFmtId="165" fontId="6" fillId="0" borderId="4" xfId="0" applyNumberFormat="1" applyFont="1" applyBorder="1"/>
    <xf numFmtId="165" fontId="3" fillId="0" borderId="0" xfId="0" applyNumberFormat="1" applyFont="1" applyAlignment="1">
      <alignment horizontal="left"/>
    </xf>
    <xf numFmtId="165" fontId="14" fillId="0" borderId="0" xfId="0" applyNumberFormat="1" applyFont="1"/>
    <xf numFmtId="165" fontId="6" fillId="0" borderId="5" xfId="0" applyNumberFormat="1" applyFont="1" applyBorder="1"/>
    <xf numFmtId="165" fontId="11" fillId="0" borderId="0" xfId="0" applyNumberFormat="1" applyFont="1"/>
    <xf numFmtId="173" fontId="6" fillId="0" borderId="0" xfId="0" applyNumberFormat="1" applyFont="1"/>
    <xf numFmtId="173" fontId="6" fillId="0" borderId="4" xfId="0" applyNumberFormat="1" applyFont="1" applyBorder="1"/>
    <xf numFmtId="173" fontId="3" fillId="0" borderId="0" xfId="0" applyNumberFormat="1" applyFont="1" applyAlignment="1">
      <alignment horizontal="left"/>
    </xf>
    <xf numFmtId="173" fontId="3" fillId="0" borderId="0" xfId="0" applyNumberFormat="1" applyFont="1"/>
    <xf numFmtId="173" fontId="14" fillId="0" borderId="0" xfId="0" applyNumberFormat="1" applyFont="1"/>
    <xf numFmtId="173" fontId="6" fillId="0" borderId="5" xfId="0" applyNumberFormat="1" applyFont="1" applyBorder="1"/>
    <xf numFmtId="173" fontId="11" fillId="0" borderId="0" xfId="0" applyNumberFormat="1" applyFont="1"/>
    <xf numFmtId="164" fontId="6" fillId="0" borderId="4" xfId="0" applyNumberFormat="1" applyFont="1" applyBorder="1"/>
    <xf numFmtId="164" fontId="3" fillId="0" borderId="0" xfId="0" applyNumberFormat="1" applyFont="1" applyAlignment="1">
      <alignment horizontal="left"/>
    </xf>
    <xf numFmtId="164" fontId="6" fillId="0" borderId="5" xfId="0" applyNumberFormat="1" applyFont="1" applyBorder="1"/>
    <xf numFmtId="164" fontId="11" fillId="0" borderId="0" xfId="0" applyNumberFormat="1" applyFont="1"/>
    <xf numFmtId="44" fontId="6" fillId="0" borderId="0" xfId="0" applyNumberFormat="1" applyFont="1"/>
    <xf numFmtId="44" fontId="6" fillId="0" borderId="4" xfId="0" applyNumberFormat="1" applyFont="1" applyBorder="1"/>
    <xf numFmtId="44" fontId="3" fillId="0" borderId="0" xfId="0" applyNumberFormat="1" applyFont="1" applyAlignment="1">
      <alignment horizontal="left"/>
    </xf>
    <xf numFmtId="44" fontId="3" fillId="0" borderId="0" xfId="0" applyNumberFormat="1" applyFont="1"/>
    <xf numFmtId="44" fontId="14" fillId="0" borderId="0" xfId="0" applyNumberFormat="1" applyFont="1"/>
    <xf numFmtId="44" fontId="6" fillId="0" borderId="5" xfId="0" applyNumberFormat="1" applyFont="1" applyBorder="1"/>
    <xf numFmtId="44" fontId="11" fillId="0" borderId="0" xfId="0" applyNumberFormat="1" applyFont="1"/>
    <xf numFmtId="174" fontId="3" fillId="0" borderId="0" xfId="0" applyNumberFormat="1" applyFont="1"/>
    <xf numFmtId="9" fontId="11" fillId="0" borderId="0" xfId="0" applyNumberFormat="1" applyFont="1"/>
    <xf numFmtId="165" fontId="6" fillId="9" borderId="7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6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37" fontId="3" fillId="0" borderId="0" xfId="0" applyNumberFormat="1" applyFont="1" applyAlignment="1">
      <alignment horizontal="center"/>
    </xf>
    <xf numFmtId="39" fontId="0" fillId="0" borderId="0" xfId="0" applyNumberFormat="1" applyAlignment="1">
      <alignment horizontal="center"/>
    </xf>
    <xf numFmtId="0" fontId="11" fillId="10" borderId="0" xfId="0" applyFont="1" applyFill="1"/>
    <xf numFmtId="0" fontId="0" fillId="10" borderId="0" xfId="0" applyFill="1"/>
    <xf numFmtId="1" fontId="3" fillId="10" borderId="0" xfId="0" applyNumberFormat="1" applyFont="1" applyFill="1"/>
    <xf numFmtId="164" fontId="14" fillId="10" borderId="0" xfId="0" applyNumberFormat="1" applyFont="1" applyFill="1"/>
    <xf numFmtId="0" fontId="1" fillId="2" borderId="0" xfId="0" applyFont="1" applyFill="1" applyAlignment="1">
      <alignment horizontal="center" vertical="center" textRotation="90"/>
    </xf>
    <xf numFmtId="0" fontId="1" fillId="2" borderId="0" xfId="0" applyFont="1" applyFill="1" applyAlignment="1">
      <alignment horizontal="center" vertical="center" textRotation="90" wrapText="1"/>
    </xf>
    <xf numFmtId="0" fontId="3" fillId="0" borderId="0" xfId="0" applyFont="1" applyAlignment="1">
      <alignment horizontal="center"/>
    </xf>
  </cellXfs>
  <cellStyles count="5">
    <cellStyle name="Currency" xfId="4" builtinId="4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0000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CCE09F-71B0-4232-89A6-5300D9E67F08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H198"/>
  <sheetViews>
    <sheetView tabSelected="1" zoomScale="90" zoomScaleNormal="85" zoomScaleSheetLayoutView="85" workbookViewId="0">
      <pane xSplit="5" ySplit="5" topLeftCell="F165" activePane="bottomRight" state="frozen"/>
      <selection pane="topRight" activeCell="F1" sqref="F1"/>
      <selection pane="bottomLeft" activeCell="A5" sqref="A5"/>
      <selection pane="bottomRight" activeCell="E181" sqref="E181"/>
    </sheetView>
  </sheetViews>
  <sheetFormatPr defaultColWidth="9" defaultRowHeight="14.5" x14ac:dyDescent="0.35"/>
  <cols>
    <col min="1" max="1" width="9" style="18"/>
    <col min="2" max="2" width="0.90625" style="18" customWidth="1"/>
    <col min="3" max="3" width="3.453125" style="18" customWidth="1"/>
    <col min="4" max="4" width="1.7265625" style="18" customWidth="1"/>
    <col min="5" max="5" width="20.26953125" style="18" customWidth="1"/>
    <col min="6" max="7" width="12.26953125" style="18" customWidth="1"/>
    <col min="8" max="8" width="12.6328125" style="18" bestFit="1" customWidth="1"/>
    <col min="9" max="14" width="12.26953125" style="18" customWidth="1"/>
    <col min="15" max="15" width="12.6328125" style="18" bestFit="1" customWidth="1"/>
    <col min="16" max="18" width="12.26953125" style="18" customWidth="1"/>
    <col min="19" max="19" width="12.6328125" style="18" bestFit="1" customWidth="1"/>
    <col min="20" max="23" width="12.26953125" style="18" customWidth="1"/>
    <col min="24" max="24" width="12.81640625" style="18" bestFit="1" customWidth="1"/>
    <col min="25" max="25" width="12.26953125" style="18" customWidth="1"/>
    <col min="26" max="26" width="12.6328125" style="18" bestFit="1" customWidth="1"/>
    <col min="27" max="27" width="12.26953125" style="18" customWidth="1"/>
    <col min="28" max="28" width="14.26953125" style="18" bestFit="1" customWidth="1"/>
    <col min="29" max="29" width="15.7265625" style="18" customWidth="1"/>
    <col min="30" max="30" width="12.26953125" style="18" customWidth="1"/>
    <col min="31" max="31" width="13.453125" style="18" bestFit="1" customWidth="1"/>
    <col min="32" max="32" width="0.90625" style="18" customWidth="1"/>
    <col min="33" max="16384" width="9" style="18"/>
  </cols>
  <sheetData>
    <row r="2" spans="2:32" x14ac:dyDescent="0.35">
      <c r="B2" s="86"/>
      <c r="C2" s="87"/>
      <c r="D2" s="87"/>
      <c r="E2" s="19"/>
      <c r="F2" s="23" t="s">
        <v>0</v>
      </c>
      <c r="G2" s="23" t="s">
        <v>1</v>
      </c>
      <c r="H2" s="23" t="s">
        <v>2</v>
      </c>
      <c r="I2" s="23" t="s">
        <v>3</v>
      </c>
      <c r="J2" s="23" t="s">
        <v>4</v>
      </c>
      <c r="K2" s="23" t="s">
        <v>5</v>
      </c>
      <c r="L2" s="23" t="s">
        <v>6</v>
      </c>
      <c r="M2" s="23" t="s">
        <v>7</v>
      </c>
      <c r="N2" s="23" t="s">
        <v>8</v>
      </c>
      <c r="O2" s="23" t="s">
        <v>9</v>
      </c>
      <c r="P2" s="23" t="s">
        <v>10</v>
      </c>
      <c r="Q2" s="23" t="s">
        <v>11</v>
      </c>
      <c r="R2" s="23" t="s">
        <v>12</v>
      </c>
      <c r="S2" s="23" t="s">
        <v>13</v>
      </c>
      <c r="T2" s="23" t="s">
        <v>14</v>
      </c>
      <c r="U2" s="23" t="s">
        <v>15</v>
      </c>
      <c r="V2" s="23" t="s">
        <v>16</v>
      </c>
      <c r="W2" s="23" t="s">
        <v>17</v>
      </c>
      <c r="X2" s="23" t="s">
        <v>18</v>
      </c>
      <c r="Y2" s="23" t="s">
        <v>19</v>
      </c>
      <c r="Z2" s="23" t="s">
        <v>20</v>
      </c>
      <c r="AA2" s="23" t="s">
        <v>21</v>
      </c>
      <c r="AB2" s="23"/>
      <c r="AC2" s="22"/>
      <c r="AD2" s="23"/>
      <c r="AE2" s="23"/>
      <c r="AF2" s="87"/>
    </row>
    <row r="3" spans="2:32" x14ac:dyDescent="0.35">
      <c r="B3" s="86"/>
      <c r="C3" s="87"/>
      <c r="D3" s="87"/>
      <c r="E3" s="19"/>
      <c r="F3" s="22" t="s">
        <v>22</v>
      </c>
      <c r="G3" s="22" t="s">
        <v>23</v>
      </c>
      <c r="H3" s="22" t="s">
        <v>24</v>
      </c>
      <c r="I3" s="22" t="s">
        <v>25</v>
      </c>
      <c r="J3" s="22" t="s">
        <v>24</v>
      </c>
      <c r="K3" s="22" t="s">
        <v>31</v>
      </c>
      <c r="L3" s="22" t="s">
        <v>26</v>
      </c>
      <c r="M3" s="22" t="s">
        <v>26</v>
      </c>
      <c r="N3" s="22" t="s">
        <v>26</v>
      </c>
      <c r="O3" s="22" t="s">
        <v>26</v>
      </c>
      <c r="P3" s="22" t="s">
        <v>27</v>
      </c>
      <c r="Q3" s="22" t="s">
        <v>28</v>
      </c>
      <c r="R3" s="22" t="s">
        <v>29</v>
      </c>
      <c r="S3" s="22" t="s">
        <v>25</v>
      </c>
      <c r="T3" s="22" t="s">
        <v>30</v>
      </c>
      <c r="U3" s="22" t="s">
        <v>31</v>
      </c>
      <c r="V3" s="22" t="s">
        <v>31</v>
      </c>
      <c r="W3" s="22" t="s">
        <v>32</v>
      </c>
      <c r="X3" s="22" t="s">
        <v>30</v>
      </c>
      <c r="Y3" s="22" t="s">
        <v>25</v>
      </c>
      <c r="Z3" s="22" t="s">
        <v>31</v>
      </c>
      <c r="AA3" s="22" t="s">
        <v>28</v>
      </c>
      <c r="AB3" s="22" t="s">
        <v>33</v>
      </c>
      <c r="AC3" s="22" t="s">
        <v>34</v>
      </c>
      <c r="AD3" s="22"/>
      <c r="AE3" s="22"/>
      <c r="AF3" s="87"/>
    </row>
    <row r="4" spans="2:32" x14ac:dyDescent="0.35">
      <c r="B4" s="86"/>
      <c r="C4" s="87"/>
      <c r="D4" s="87"/>
      <c r="E4" s="19" t="s">
        <v>35</v>
      </c>
      <c r="F4" s="22"/>
      <c r="G4" s="22"/>
      <c r="H4" s="22">
        <v>2017</v>
      </c>
      <c r="I4" s="22">
        <v>2017</v>
      </c>
      <c r="J4" s="22">
        <v>2014</v>
      </c>
      <c r="K4" s="22">
        <v>1964</v>
      </c>
      <c r="L4" s="22">
        <v>1964</v>
      </c>
      <c r="M4" s="22">
        <v>1989</v>
      </c>
      <c r="N4" s="22">
        <v>1998</v>
      </c>
      <c r="O4" s="22">
        <v>1998</v>
      </c>
      <c r="P4" s="22">
        <v>1998</v>
      </c>
      <c r="Q4" s="22">
        <v>2013</v>
      </c>
      <c r="R4" s="22">
        <v>2013</v>
      </c>
      <c r="S4" s="22">
        <v>2018</v>
      </c>
      <c r="T4" s="22">
        <v>2013</v>
      </c>
      <c r="U4" s="22" t="s">
        <v>36</v>
      </c>
      <c r="V4" s="22">
        <v>2020</v>
      </c>
      <c r="W4" s="22">
        <v>2020</v>
      </c>
      <c r="X4" s="22">
        <v>2020</v>
      </c>
      <c r="Y4" s="22">
        <v>2020</v>
      </c>
      <c r="Z4" s="22">
        <v>2020</v>
      </c>
      <c r="AA4" s="22">
        <v>2020</v>
      </c>
      <c r="AB4" s="22"/>
      <c r="AC4" s="22"/>
      <c r="AD4" s="22"/>
      <c r="AE4" s="22"/>
      <c r="AF4" s="87"/>
    </row>
    <row r="5" spans="2:32" x14ac:dyDescent="0.35">
      <c r="B5" s="86"/>
      <c r="C5" s="87"/>
      <c r="D5" s="87"/>
      <c r="E5" s="19" t="s">
        <v>37</v>
      </c>
      <c r="F5" s="88">
        <v>20</v>
      </c>
      <c r="G5" s="88">
        <v>9.5</v>
      </c>
      <c r="H5" s="89">
        <v>20</v>
      </c>
      <c r="I5" s="88">
        <v>10</v>
      </c>
      <c r="J5" s="89">
        <v>10</v>
      </c>
      <c r="K5" s="89">
        <v>20</v>
      </c>
      <c r="L5" s="89">
        <v>20</v>
      </c>
      <c r="M5" s="89">
        <v>5</v>
      </c>
      <c r="N5" s="89">
        <v>8</v>
      </c>
      <c r="O5" s="89">
        <v>24</v>
      </c>
      <c r="P5" s="89">
        <v>20</v>
      </c>
      <c r="Q5" s="89">
        <v>20</v>
      </c>
      <c r="R5" s="89">
        <v>20</v>
      </c>
      <c r="S5" s="89">
        <v>17.5</v>
      </c>
      <c r="T5" s="89">
        <v>18</v>
      </c>
      <c r="U5" s="89">
        <v>5.5</v>
      </c>
      <c r="V5" s="89">
        <v>10.39</v>
      </c>
      <c r="W5" s="89">
        <v>9.57</v>
      </c>
      <c r="X5" s="89">
        <v>20</v>
      </c>
      <c r="Y5" s="89">
        <v>10.68</v>
      </c>
      <c r="Z5" s="89">
        <v>39.67</v>
      </c>
      <c r="AA5" s="89">
        <v>11.54</v>
      </c>
      <c r="AB5" s="89" t="s">
        <v>38</v>
      </c>
      <c r="AC5" s="89" t="s">
        <v>39</v>
      </c>
      <c r="AD5" s="89" t="s">
        <v>40</v>
      </c>
      <c r="AE5" s="89"/>
      <c r="AF5" s="87"/>
    </row>
    <row r="6" spans="2:32" ht="6" customHeight="1" thickBot="1" x14ac:dyDescent="0.4">
      <c r="B6" s="90"/>
      <c r="C6" s="90"/>
      <c r="D6" s="90"/>
      <c r="E6" s="20"/>
      <c r="F6" s="91"/>
      <c r="G6" s="92"/>
      <c r="H6" s="92"/>
      <c r="I6" s="92"/>
      <c r="J6" s="92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0"/>
    </row>
    <row r="7" spans="2:32" ht="6" customHeight="1" x14ac:dyDescent="0.35">
      <c r="B7" s="93"/>
      <c r="C7" s="94"/>
      <c r="D7" s="94"/>
      <c r="E7" s="21"/>
      <c r="F7" s="95"/>
      <c r="G7" s="96"/>
      <c r="H7" s="96"/>
      <c r="I7" s="96"/>
      <c r="J7" s="96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7"/>
    </row>
    <row r="8" spans="2:32" x14ac:dyDescent="0.35">
      <c r="B8" s="98"/>
      <c r="C8" s="185">
        <v>2012</v>
      </c>
      <c r="D8" s="90"/>
      <c r="E8" s="35" t="s">
        <v>41</v>
      </c>
      <c r="F8" s="25">
        <f>3200+4672+192</f>
        <v>8064</v>
      </c>
      <c r="G8" s="25">
        <v>3632</v>
      </c>
      <c r="H8" s="25"/>
      <c r="I8" s="25"/>
      <c r="J8" s="25"/>
      <c r="K8" s="25">
        <f>2400+3584+2776</f>
        <v>8760</v>
      </c>
      <c r="L8" s="25">
        <v>11888</v>
      </c>
      <c r="M8" s="25">
        <v>3328</v>
      </c>
      <c r="N8" s="25">
        <f>445*16</f>
        <v>7120</v>
      </c>
      <c r="O8" s="25">
        <f>1224*16</f>
        <v>19584</v>
      </c>
      <c r="P8" s="25">
        <f>4816+6672</f>
        <v>11488</v>
      </c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6">
        <f>SUM(F8:T8)</f>
        <v>73864</v>
      </c>
      <c r="AC8" s="26"/>
      <c r="AD8" s="26"/>
      <c r="AE8" s="26"/>
      <c r="AF8" s="99"/>
    </row>
    <row r="9" spans="2:32" x14ac:dyDescent="0.35">
      <c r="B9" s="98"/>
      <c r="C9" s="185"/>
      <c r="D9" s="90"/>
      <c r="E9" s="35" t="s">
        <v>42</v>
      </c>
      <c r="F9" s="26">
        <f>+F8/F5</f>
        <v>403.2</v>
      </c>
      <c r="G9" s="26">
        <f>+G8/G5</f>
        <v>382.31578947368422</v>
      </c>
      <c r="H9" s="26"/>
      <c r="I9" s="26"/>
      <c r="J9" s="26"/>
      <c r="K9" s="26">
        <f t="shared" ref="K9:P9" si="0">+K8/K5</f>
        <v>438</v>
      </c>
      <c r="L9" s="26">
        <f t="shared" si="0"/>
        <v>594.4</v>
      </c>
      <c r="M9" s="26">
        <f t="shared" si="0"/>
        <v>665.6</v>
      </c>
      <c r="N9" s="26">
        <f t="shared" si="0"/>
        <v>890</v>
      </c>
      <c r="O9" s="26">
        <f t="shared" si="0"/>
        <v>816</v>
      </c>
      <c r="P9" s="26">
        <f t="shared" si="0"/>
        <v>574.4</v>
      </c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99"/>
    </row>
    <row r="10" spans="2:32" x14ac:dyDescent="0.35">
      <c r="B10" s="98"/>
      <c r="C10" s="185"/>
      <c r="D10" s="90"/>
      <c r="E10" s="35" t="s">
        <v>43</v>
      </c>
      <c r="F10" s="26">
        <f t="shared" ref="F10:P10" si="1">+F8/16</f>
        <v>504</v>
      </c>
      <c r="G10" s="26">
        <f t="shared" si="1"/>
        <v>227</v>
      </c>
      <c r="H10" s="26"/>
      <c r="I10" s="26"/>
      <c r="J10" s="26"/>
      <c r="K10" s="26">
        <f t="shared" si="1"/>
        <v>547.5</v>
      </c>
      <c r="L10" s="26">
        <f t="shared" si="1"/>
        <v>743</v>
      </c>
      <c r="M10" s="26">
        <f t="shared" si="1"/>
        <v>208</v>
      </c>
      <c r="N10" s="26">
        <f t="shared" si="1"/>
        <v>445</v>
      </c>
      <c r="O10" s="26">
        <f t="shared" si="1"/>
        <v>1224</v>
      </c>
      <c r="P10" s="26">
        <f t="shared" si="1"/>
        <v>718</v>
      </c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>
        <f>SUM(F10:T10)</f>
        <v>4616.5</v>
      </c>
      <c r="AC10" s="26"/>
      <c r="AD10" s="36">
        <v>20.05</v>
      </c>
      <c r="AE10" s="26"/>
      <c r="AF10" s="99"/>
    </row>
    <row r="11" spans="2:32" x14ac:dyDescent="0.35">
      <c r="B11" s="98"/>
      <c r="C11" s="185"/>
      <c r="D11" s="90"/>
      <c r="E11" s="35" t="s">
        <v>44</v>
      </c>
      <c r="F11" s="26">
        <f>+F10/F5</f>
        <v>25.2</v>
      </c>
      <c r="G11" s="26">
        <f>+G10/G5</f>
        <v>23.894736842105264</v>
      </c>
      <c r="H11" s="26"/>
      <c r="I11" s="26"/>
      <c r="J11" s="26"/>
      <c r="K11" s="26">
        <f t="shared" ref="K11:P11" si="2">+K10/K5</f>
        <v>27.375</v>
      </c>
      <c r="L11" s="26">
        <f t="shared" si="2"/>
        <v>37.15</v>
      </c>
      <c r="M11" s="26">
        <f t="shared" si="2"/>
        <v>41.6</v>
      </c>
      <c r="N11" s="26">
        <f t="shared" si="2"/>
        <v>55.625</v>
      </c>
      <c r="O11" s="26">
        <f t="shared" si="2"/>
        <v>51</v>
      </c>
      <c r="P11" s="26">
        <f t="shared" si="2"/>
        <v>35.9</v>
      </c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99"/>
    </row>
    <row r="12" spans="2:32" ht="6" customHeight="1" x14ac:dyDescent="0.35">
      <c r="B12" s="98"/>
      <c r="C12" s="185"/>
      <c r="D12" s="90"/>
      <c r="E12" s="35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99"/>
    </row>
    <row r="13" spans="2:32" x14ac:dyDescent="0.35">
      <c r="B13" s="98"/>
      <c r="C13" s="185"/>
      <c r="D13" s="90"/>
      <c r="E13" s="100" t="s">
        <v>45</v>
      </c>
      <c r="F13" s="13">
        <v>174.67890873015875</v>
      </c>
      <c r="G13" s="13">
        <v>128.46753303964758</v>
      </c>
      <c r="H13" s="13"/>
      <c r="I13" s="13"/>
      <c r="J13" s="13"/>
      <c r="K13" s="13">
        <v>97.465844748858459</v>
      </c>
      <c r="L13" s="13">
        <v>77.48115746971736</v>
      </c>
      <c r="M13" s="13">
        <v>78.57014423076923</v>
      </c>
      <c r="N13" s="13">
        <v>71.913415730337078</v>
      </c>
      <c r="O13" s="13">
        <v>57.286813725490191</v>
      </c>
      <c r="P13" s="13">
        <v>117.7258356545961</v>
      </c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>
        <f>AB15/AB10</f>
        <v>93.387115780353085</v>
      </c>
      <c r="AC13" s="13"/>
      <c r="AD13" s="13"/>
      <c r="AE13" s="13"/>
      <c r="AF13" s="99"/>
    </row>
    <row r="14" spans="2:32" ht="6" customHeight="1" x14ac:dyDescent="0.35">
      <c r="B14" s="98"/>
      <c r="C14" s="185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9"/>
    </row>
    <row r="15" spans="2:32" x14ac:dyDescent="0.35">
      <c r="B15" s="98"/>
      <c r="C15" s="185"/>
      <c r="D15" s="90"/>
      <c r="E15" s="101" t="s">
        <v>46</v>
      </c>
      <c r="F15" s="27">
        <f>+F13*F10</f>
        <v>88038.170000000013</v>
      </c>
      <c r="G15" s="27">
        <f t="shared" ref="G15:P15" si="3">+G13*G10</f>
        <v>29162.13</v>
      </c>
      <c r="H15" s="27"/>
      <c r="I15" s="27"/>
      <c r="J15" s="27"/>
      <c r="K15" s="27">
        <f t="shared" si="3"/>
        <v>53362.55</v>
      </c>
      <c r="L15" s="27">
        <f t="shared" si="3"/>
        <v>57568.5</v>
      </c>
      <c r="M15" s="27">
        <f t="shared" si="3"/>
        <v>16342.59</v>
      </c>
      <c r="N15" s="27">
        <f t="shared" si="3"/>
        <v>32001.47</v>
      </c>
      <c r="O15" s="27">
        <f t="shared" si="3"/>
        <v>70119.06</v>
      </c>
      <c r="P15" s="27">
        <f t="shared" si="3"/>
        <v>84527.15</v>
      </c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>
        <f>SUM(F15:T15)</f>
        <v>431121.62</v>
      </c>
      <c r="AC15" s="27"/>
      <c r="AD15" s="27">
        <v>10000</v>
      </c>
      <c r="AE15" s="27">
        <f>SUM(AB15:AD15)</f>
        <v>441121.62</v>
      </c>
      <c r="AF15" s="99"/>
    </row>
    <row r="16" spans="2:32" ht="6" customHeight="1" thickBot="1" x14ac:dyDescent="0.4">
      <c r="B16" s="102"/>
      <c r="C16" s="103"/>
      <c r="D16" s="103"/>
      <c r="E16" s="103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104"/>
    </row>
    <row r="17" spans="2:32" ht="6" customHeight="1" thickBot="1" x14ac:dyDescent="0.4">
      <c r="B17" s="90"/>
      <c r="C17" s="90"/>
      <c r="D17" s="90"/>
      <c r="E17" s="90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90"/>
    </row>
    <row r="18" spans="2:32" ht="6" customHeight="1" x14ac:dyDescent="0.35">
      <c r="B18" s="93"/>
      <c r="C18" s="94"/>
      <c r="D18" s="94"/>
      <c r="E18" s="94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97"/>
    </row>
    <row r="19" spans="2:32" ht="15" customHeight="1" x14ac:dyDescent="0.35">
      <c r="B19" s="98"/>
      <c r="C19" s="186">
        <v>2013</v>
      </c>
      <c r="D19" s="90"/>
      <c r="E19" s="35" t="s">
        <v>41</v>
      </c>
      <c r="F19" s="105">
        <f>+F21*16</f>
        <v>4912</v>
      </c>
      <c r="G19" s="105">
        <f t="shared" ref="G19:K19" si="4">+G21*16</f>
        <v>2112</v>
      </c>
      <c r="H19" s="105"/>
      <c r="I19" s="105"/>
      <c r="J19" s="105"/>
      <c r="K19" s="105">
        <f t="shared" si="4"/>
        <v>5192</v>
      </c>
      <c r="L19" s="105">
        <f>+L21*16</f>
        <v>6528</v>
      </c>
      <c r="M19" s="105">
        <f>+M21*16</f>
        <v>2400</v>
      </c>
      <c r="N19" s="105">
        <f>+N21*16</f>
        <v>3552</v>
      </c>
      <c r="O19" s="105">
        <f>+O21*16</f>
        <v>13200</v>
      </c>
      <c r="P19" s="105">
        <f>+P21*16</f>
        <v>5408</v>
      </c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26">
        <f>SUM(F19:T19)</f>
        <v>43304</v>
      </c>
      <c r="AC19" s="105"/>
      <c r="AD19" s="105"/>
      <c r="AE19" s="105"/>
      <c r="AF19" s="99"/>
    </row>
    <row r="20" spans="2:32" x14ac:dyDescent="0.35">
      <c r="B20" s="98"/>
      <c r="C20" s="186"/>
      <c r="D20" s="90"/>
      <c r="E20" s="35" t="s">
        <v>42</v>
      </c>
      <c r="F20" s="26">
        <f>+F19/F5</f>
        <v>245.6</v>
      </c>
      <c r="G20" s="26">
        <f>+G19/G5</f>
        <v>222.31578947368422</v>
      </c>
      <c r="H20" s="26"/>
      <c r="I20" s="26"/>
      <c r="J20" s="26"/>
      <c r="K20" s="26">
        <f t="shared" ref="K20:P20" si="5">+K19/K5</f>
        <v>259.60000000000002</v>
      </c>
      <c r="L20" s="26">
        <f t="shared" si="5"/>
        <v>326.39999999999998</v>
      </c>
      <c r="M20" s="26">
        <f t="shared" si="5"/>
        <v>480</v>
      </c>
      <c r="N20" s="26">
        <f t="shared" si="5"/>
        <v>444</v>
      </c>
      <c r="O20" s="26">
        <f t="shared" si="5"/>
        <v>550</v>
      </c>
      <c r="P20" s="26">
        <f t="shared" si="5"/>
        <v>270.39999999999998</v>
      </c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99"/>
    </row>
    <row r="21" spans="2:32" x14ac:dyDescent="0.35">
      <c r="B21" s="98"/>
      <c r="C21" s="186"/>
      <c r="D21" s="90"/>
      <c r="E21" s="35" t="s">
        <v>43</v>
      </c>
      <c r="F21" s="31">
        <f>205+102</f>
        <v>307</v>
      </c>
      <c r="G21" s="31">
        <v>132</v>
      </c>
      <c r="H21" s="31"/>
      <c r="I21" s="31"/>
      <c r="J21" s="31"/>
      <c r="K21" s="31">
        <v>324.5</v>
      </c>
      <c r="L21" s="31">
        <v>408</v>
      </c>
      <c r="M21" s="31">
        <v>150</v>
      </c>
      <c r="N21" s="31">
        <v>222</v>
      </c>
      <c r="O21" s="31">
        <v>825</v>
      </c>
      <c r="P21" s="31">
        <v>338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26">
        <f>SUM(F21:T21)</f>
        <v>2706.5</v>
      </c>
      <c r="AC21" s="26"/>
      <c r="AD21" s="36">
        <v>106.26</v>
      </c>
      <c r="AE21" s="26"/>
      <c r="AF21" s="99"/>
    </row>
    <row r="22" spans="2:32" x14ac:dyDescent="0.35">
      <c r="B22" s="98"/>
      <c r="C22" s="186"/>
      <c r="D22" s="90"/>
      <c r="E22" s="35" t="s">
        <v>44</v>
      </c>
      <c r="F22" s="26">
        <f>+F21/F5</f>
        <v>15.35</v>
      </c>
      <c r="G22" s="26">
        <f>+G21/G5</f>
        <v>13.894736842105264</v>
      </c>
      <c r="H22" s="26"/>
      <c r="I22" s="26"/>
      <c r="J22" s="26"/>
      <c r="K22" s="26">
        <f t="shared" ref="K22:P22" si="6">+K21/K5</f>
        <v>16.225000000000001</v>
      </c>
      <c r="L22" s="26">
        <f t="shared" si="6"/>
        <v>20.399999999999999</v>
      </c>
      <c r="M22" s="26">
        <f t="shared" si="6"/>
        <v>30</v>
      </c>
      <c r="N22" s="26">
        <f t="shared" si="6"/>
        <v>27.75</v>
      </c>
      <c r="O22" s="26">
        <f t="shared" si="6"/>
        <v>34.375</v>
      </c>
      <c r="P22" s="26">
        <f t="shared" si="6"/>
        <v>16.899999999999999</v>
      </c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90"/>
      <c r="AE22" s="26"/>
      <c r="AF22" s="99"/>
    </row>
    <row r="23" spans="2:32" ht="6" customHeight="1" x14ac:dyDescent="0.35">
      <c r="B23" s="98"/>
      <c r="C23" s="186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26"/>
      <c r="AC23" s="90"/>
      <c r="AD23" s="90"/>
      <c r="AE23" s="90"/>
      <c r="AF23" s="99"/>
    </row>
    <row r="24" spans="2:32" x14ac:dyDescent="0.35">
      <c r="B24" s="98"/>
      <c r="C24" s="186"/>
      <c r="D24" s="90"/>
      <c r="E24" s="100" t="s">
        <v>45</v>
      </c>
      <c r="F24" s="13">
        <f>F26/F21</f>
        <v>133.93293159609118</v>
      </c>
      <c r="G24" s="13">
        <f t="shared" ref="G24:P24" si="7">G26/G21</f>
        <v>139.41613636363635</v>
      </c>
      <c r="H24" s="13"/>
      <c r="I24" s="13"/>
      <c r="J24" s="13"/>
      <c r="K24" s="13">
        <f t="shared" si="7"/>
        <v>150.34283513097071</v>
      </c>
      <c r="L24" s="13">
        <f t="shared" si="7"/>
        <v>131.76678921568626</v>
      </c>
      <c r="M24" s="13">
        <f t="shared" si="7"/>
        <v>131.03326666666666</v>
      </c>
      <c r="N24" s="13">
        <f t="shared" si="7"/>
        <v>118.94333333333333</v>
      </c>
      <c r="O24" s="13">
        <f t="shared" si="7"/>
        <v>120.40112727272727</v>
      </c>
      <c r="P24" s="13">
        <f t="shared" si="7"/>
        <v>224.01029585798818</v>
      </c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>
        <f>AB26/AB21</f>
        <v>141.57556253463883</v>
      </c>
      <c r="AC24" s="13"/>
      <c r="AD24" s="90"/>
      <c r="AE24" s="13"/>
      <c r="AF24" s="99"/>
    </row>
    <row r="25" spans="2:32" ht="6" customHeight="1" x14ac:dyDescent="0.35">
      <c r="B25" s="98"/>
      <c r="C25" s="186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9"/>
    </row>
    <row r="26" spans="2:32" x14ac:dyDescent="0.35">
      <c r="B26" s="98"/>
      <c r="C26" s="186"/>
      <c r="D26" s="90"/>
      <c r="E26" s="101" t="s">
        <v>47</v>
      </c>
      <c r="F26" s="27">
        <f>'2013 - Checks'!E3+'2013 - Checks'!E4+'2013 - Checks'!E10+'2013 - Checks'!E11+'2013 - Checks'!E19+'2013 - Checks'!E22</f>
        <v>41117.409999999996</v>
      </c>
      <c r="G26" s="27">
        <f>'2013 - Checks'!E5+'2013 - Checks'!E12+'2013 - Checks'!E23</f>
        <v>18402.93</v>
      </c>
      <c r="H26" s="27"/>
      <c r="I26" s="27"/>
      <c r="J26" s="27"/>
      <c r="K26" s="27">
        <f>+'2013 - Checks'!E6+'2013 - Checks'!E7+'2013 - Checks'!E13+'2013 - Checks'!E24+'2013 - Checks'!E27</f>
        <v>48786.25</v>
      </c>
      <c r="L26" s="27">
        <f>'2013 - Checks'!E39+'2013 - Checks'!E33</f>
        <v>53760.85</v>
      </c>
      <c r="M26" s="27">
        <f>'2013 - Checks'!E40+'2013 - Checks'!E34</f>
        <v>19654.989999999998</v>
      </c>
      <c r="N26" s="27">
        <f>'2013 - Checks'!E41+'2013 - Checks'!E35</f>
        <v>26405.42</v>
      </c>
      <c r="O26" s="27">
        <f>'2013 - Checks'!E42+'2013 - Checks'!E36</f>
        <v>99330.93</v>
      </c>
      <c r="P26" s="27">
        <f>+'2013 - Checks'!E16+'2013 - Checks'!E31</f>
        <v>75715.48000000001</v>
      </c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>
        <f>SUM(F26:T26)</f>
        <v>383174.26</v>
      </c>
      <c r="AC26" s="27">
        <f>(11401.02-10000)+21169.6+6727</f>
        <v>29297.62</v>
      </c>
      <c r="AD26" s="27">
        <f>'2013 - Checks'!E46</f>
        <v>48069.599999999999</v>
      </c>
      <c r="AE26" s="27">
        <f>SUM(AB26:AD26)</f>
        <v>460541.48</v>
      </c>
      <c r="AF26" s="99"/>
    </row>
    <row r="27" spans="2:32" ht="6" customHeight="1" thickBot="1" x14ac:dyDescent="0.4">
      <c r="B27" s="102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4"/>
    </row>
    <row r="28" spans="2:32" ht="6" customHeight="1" thickBot="1" x14ac:dyDescent="0.4">
      <c r="B28" s="90"/>
      <c r="C28" s="90"/>
      <c r="D28" s="90"/>
      <c r="E28" s="90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90"/>
    </row>
    <row r="29" spans="2:32" ht="6" customHeight="1" x14ac:dyDescent="0.35">
      <c r="B29" s="93"/>
      <c r="C29" s="94"/>
      <c r="D29" s="94"/>
      <c r="E29" s="94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97"/>
    </row>
    <row r="30" spans="2:32" ht="15" customHeight="1" x14ac:dyDescent="0.35">
      <c r="B30" s="98"/>
      <c r="C30" s="186">
        <v>2014</v>
      </c>
      <c r="D30" s="90"/>
      <c r="E30" s="35" t="s">
        <v>41</v>
      </c>
      <c r="F30" s="105">
        <f>+F32*16</f>
        <v>5600</v>
      </c>
      <c r="G30" s="105">
        <f>+G32*16</f>
        <v>3328</v>
      </c>
      <c r="H30" s="105"/>
      <c r="I30" s="105"/>
      <c r="J30" s="105"/>
      <c r="K30" s="105">
        <f t="shared" ref="K30" si="8">+K32*16</f>
        <v>9600</v>
      </c>
      <c r="L30" s="105">
        <f>+L32*16</f>
        <v>13568</v>
      </c>
      <c r="M30" s="105">
        <f>+M32*16</f>
        <v>4032</v>
      </c>
      <c r="N30" s="105">
        <f>+N32*16</f>
        <v>7200</v>
      </c>
      <c r="O30" s="105">
        <f>+O32*16</f>
        <v>17452</v>
      </c>
      <c r="P30" s="105">
        <f>+P32*16</f>
        <v>8224</v>
      </c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26">
        <f>SUM(F30:T30)</f>
        <v>69004</v>
      </c>
      <c r="AC30" s="105"/>
      <c r="AD30" s="105"/>
      <c r="AE30" s="105"/>
      <c r="AF30" s="99"/>
    </row>
    <row r="31" spans="2:32" x14ac:dyDescent="0.35">
      <c r="B31" s="98"/>
      <c r="C31" s="186"/>
      <c r="D31" s="90"/>
      <c r="E31" s="35" t="s">
        <v>42</v>
      </c>
      <c r="F31" s="26">
        <f>+F30/F5</f>
        <v>280</v>
      </c>
      <c r="G31" s="26">
        <f>+G30/G5</f>
        <v>350.31578947368422</v>
      </c>
      <c r="H31" s="26"/>
      <c r="I31" s="26"/>
      <c r="J31" s="26"/>
      <c r="K31" s="26">
        <f t="shared" ref="K31:P31" si="9">+K30/K5</f>
        <v>480</v>
      </c>
      <c r="L31" s="26">
        <f t="shared" si="9"/>
        <v>678.4</v>
      </c>
      <c r="M31" s="26">
        <f t="shared" si="9"/>
        <v>806.4</v>
      </c>
      <c r="N31" s="26">
        <f t="shared" si="9"/>
        <v>900</v>
      </c>
      <c r="O31" s="26">
        <f t="shared" si="9"/>
        <v>727.16666666666663</v>
      </c>
      <c r="P31" s="26">
        <f t="shared" si="9"/>
        <v>411.2</v>
      </c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99"/>
    </row>
    <row r="32" spans="2:32" x14ac:dyDescent="0.35">
      <c r="B32" s="98"/>
      <c r="C32" s="186"/>
      <c r="D32" s="90"/>
      <c r="E32" s="35" t="s">
        <v>43</v>
      </c>
      <c r="F32" s="31">
        <v>350</v>
      </c>
      <c r="G32" s="31">
        <v>208</v>
      </c>
      <c r="H32" s="31"/>
      <c r="I32" s="31"/>
      <c r="J32" s="31"/>
      <c r="K32" s="31">
        <v>600</v>
      </c>
      <c r="L32" s="25">
        <v>848</v>
      </c>
      <c r="M32" s="25">
        <v>252</v>
      </c>
      <c r="N32" s="25">
        <v>450</v>
      </c>
      <c r="O32" s="25">
        <v>1090.75</v>
      </c>
      <c r="P32" s="25">
        <v>514</v>
      </c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6">
        <f>SUM(F32:T32)</f>
        <v>4312.75</v>
      </c>
      <c r="AC32" s="26"/>
      <c r="AD32" s="36">
        <v>16.465</v>
      </c>
      <c r="AE32" s="26"/>
      <c r="AF32" s="99"/>
    </row>
    <row r="33" spans="2:32" x14ac:dyDescent="0.35">
      <c r="B33" s="98"/>
      <c r="C33" s="186"/>
      <c r="D33" s="90"/>
      <c r="E33" s="35" t="s">
        <v>44</v>
      </c>
      <c r="F33" s="26">
        <f>+F32/29.5</f>
        <v>11.864406779661017</v>
      </c>
      <c r="G33" s="26">
        <f>+G32/29.5</f>
        <v>7.0508474576271185</v>
      </c>
      <c r="H33" s="26"/>
      <c r="I33" s="26"/>
      <c r="J33" s="26"/>
      <c r="K33" s="26">
        <f t="shared" ref="K33:P33" si="10">+K32/K5</f>
        <v>30</v>
      </c>
      <c r="L33" s="26">
        <f t="shared" si="10"/>
        <v>42.4</v>
      </c>
      <c r="M33" s="26">
        <f t="shared" si="10"/>
        <v>50.4</v>
      </c>
      <c r="N33" s="26">
        <f t="shared" si="10"/>
        <v>56.25</v>
      </c>
      <c r="O33" s="26">
        <f t="shared" si="10"/>
        <v>45.447916666666664</v>
      </c>
      <c r="P33" s="26">
        <f t="shared" si="10"/>
        <v>25.7</v>
      </c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90"/>
      <c r="AE33" s="26"/>
      <c r="AF33" s="99"/>
    </row>
    <row r="34" spans="2:32" ht="6" customHeight="1" x14ac:dyDescent="0.35">
      <c r="B34" s="98"/>
      <c r="C34" s="186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26"/>
      <c r="AC34" s="106"/>
      <c r="AD34" s="90"/>
      <c r="AE34" s="90"/>
      <c r="AF34" s="99"/>
    </row>
    <row r="35" spans="2:32" x14ac:dyDescent="0.35">
      <c r="B35" s="98"/>
      <c r="C35" s="186"/>
      <c r="D35" s="90"/>
      <c r="E35" s="100" t="s">
        <v>45</v>
      </c>
      <c r="F35" s="13">
        <f>+F37/F32</f>
        <v>222.48128571428572</v>
      </c>
      <c r="G35" s="13">
        <f>+G37/G32</f>
        <v>214.96644230769232</v>
      </c>
      <c r="H35" s="13"/>
      <c r="I35" s="13"/>
      <c r="J35" s="13"/>
      <c r="K35" s="13">
        <f t="shared" ref="K35:P35" si="11">+K37/K32</f>
        <v>242.77286666666666</v>
      </c>
      <c r="L35" s="13">
        <f t="shared" si="11"/>
        <v>142.25303066037736</v>
      </c>
      <c r="M35" s="13">
        <f t="shared" si="11"/>
        <v>145.38257936507938</v>
      </c>
      <c r="N35" s="13">
        <f t="shared" si="11"/>
        <v>100.97937777777778</v>
      </c>
      <c r="O35" s="13">
        <f t="shared" si="11"/>
        <v>82.815319734127897</v>
      </c>
      <c r="P35" s="13">
        <f t="shared" si="11"/>
        <v>242.27612840466924</v>
      </c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>
        <f>AB37/AB32</f>
        <v>159.02002898382699</v>
      </c>
      <c r="AC35" s="13"/>
      <c r="AD35" s="90"/>
      <c r="AE35" s="13"/>
      <c r="AF35" s="99"/>
    </row>
    <row r="36" spans="2:32" ht="6" customHeight="1" x14ac:dyDescent="0.35">
      <c r="B36" s="98"/>
      <c r="C36" s="186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9"/>
    </row>
    <row r="37" spans="2:32" x14ac:dyDescent="0.35">
      <c r="B37" s="98"/>
      <c r="C37" s="186"/>
      <c r="D37" s="90"/>
      <c r="E37" s="101" t="s">
        <v>48</v>
      </c>
      <c r="F37" s="27">
        <f>SUM('2014 - Checks'!E8,'2014 - Checks'!E15,'2014 - Checks'!E26,'2014 - Checks'!E35,)</f>
        <v>77868.45</v>
      </c>
      <c r="G37" s="27">
        <f>SUM('2014 - Checks'!E9,'2014 - Checks'!E16,'2014 - Checks'!E24,'2014 - Checks'!E36,)</f>
        <v>44713.020000000004</v>
      </c>
      <c r="H37" s="27"/>
      <c r="I37" s="27"/>
      <c r="J37" s="27"/>
      <c r="K37" s="27">
        <f>'2014 - Checks'!E3+'2014 - Checks'!E19+'2014 - Checks'!E4+'2014 - Checks'!E7+'2014 - Checks'!E20+'2014 - Checks'!E10+'2014 - Checks'!E25+'2014 - Checks'!E27</f>
        <v>145663.72</v>
      </c>
      <c r="L37" s="27">
        <f>'2014 - Checks'!E30+'2014 - Checks'!E41</f>
        <v>120630.57</v>
      </c>
      <c r="M37" s="27">
        <f>'2014 - Checks'!E31+'2014 - Checks'!E42</f>
        <v>36636.410000000003</v>
      </c>
      <c r="N37" s="27">
        <f>'2014 - Checks'!E43</f>
        <v>45440.72</v>
      </c>
      <c r="O37" s="27">
        <f>'2014 - Checks'!E32+'2014 - Checks'!E44</f>
        <v>90330.81</v>
      </c>
      <c r="P37" s="27">
        <f>+'2014 - Checks'!E13+'2014 - Checks'!E39</f>
        <v>124529.93</v>
      </c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>
        <f>SUM(F37:T37)</f>
        <v>685813.62999999989</v>
      </c>
      <c r="AC37" s="27" t="e">
        <f>SUM(#REF!)</f>
        <v>#REF!</v>
      </c>
      <c r="AD37" s="32">
        <v>6692.65</v>
      </c>
      <c r="AE37" s="27" t="e">
        <f>SUM(AB37:AD37)</f>
        <v>#REF!</v>
      </c>
      <c r="AF37" s="99"/>
    </row>
    <row r="38" spans="2:32" ht="6" customHeight="1" thickBot="1" x14ac:dyDescent="0.4">
      <c r="B38" s="102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4"/>
    </row>
    <row r="39" spans="2:32" ht="6" customHeight="1" thickBot="1" x14ac:dyDescent="0.4"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</row>
    <row r="40" spans="2:32" ht="6" customHeight="1" x14ac:dyDescent="0.35">
      <c r="B40" s="93"/>
      <c r="C40" s="94"/>
      <c r="D40" s="94"/>
      <c r="E40" s="94"/>
      <c r="F40" s="30" t="s">
        <v>49</v>
      </c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97"/>
    </row>
    <row r="41" spans="2:32" ht="15" customHeight="1" x14ac:dyDescent="0.35">
      <c r="B41" s="98"/>
      <c r="C41" s="186">
        <v>2015</v>
      </c>
      <c r="D41" s="90"/>
      <c r="E41" s="35" t="s">
        <v>41</v>
      </c>
      <c r="F41" s="105">
        <f>+F43*16</f>
        <v>4288</v>
      </c>
      <c r="G41" s="105">
        <f>+G43*16</f>
        <v>2400</v>
      </c>
      <c r="H41" s="105"/>
      <c r="I41" s="105"/>
      <c r="J41" s="105"/>
      <c r="K41" s="105">
        <f t="shared" ref="K41" si="12">+K43*16</f>
        <v>7760</v>
      </c>
      <c r="L41" s="105">
        <f t="shared" ref="L41:T41" si="13">+L43*16</f>
        <v>10032</v>
      </c>
      <c r="M41" s="105">
        <f t="shared" si="13"/>
        <v>1840</v>
      </c>
      <c r="N41" s="105">
        <f t="shared" si="13"/>
        <v>3232</v>
      </c>
      <c r="O41" s="105">
        <f t="shared" si="13"/>
        <v>13504</v>
      </c>
      <c r="P41" s="105">
        <f t="shared" si="13"/>
        <v>9344</v>
      </c>
      <c r="Q41" s="105"/>
      <c r="R41" s="105"/>
      <c r="S41" s="105"/>
      <c r="T41" s="105">
        <f t="shared" si="13"/>
        <v>380</v>
      </c>
      <c r="U41" s="105"/>
      <c r="V41" s="105"/>
      <c r="W41" s="105"/>
      <c r="X41" s="105"/>
      <c r="Y41" s="105"/>
      <c r="Z41" s="105"/>
      <c r="AA41" s="105"/>
      <c r="AB41" s="26">
        <f>SUM(F41:T41)</f>
        <v>52780</v>
      </c>
      <c r="AC41" s="105"/>
      <c r="AD41" s="105"/>
      <c r="AE41" s="105"/>
      <c r="AF41" s="99"/>
    </row>
    <row r="42" spans="2:32" x14ac:dyDescent="0.35">
      <c r="B42" s="98"/>
      <c r="C42" s="186"/>
      <c r="D42" s="90"/>
      <c r="E42" s="35" t="s">
        <v>42</v>
      </c>
      <c r="F42" s="26">
        <f>+F41/F5</f>
        <v>214.4</v>
      </c>
      <c r="G42" s="26">
        <f>+G41/G5</f>
        <v>252.63157894736841</v>
      </c>
      <c r="H42" s="26"/>
      <c r="I42" s="26"/>
      <c r="J42" s="26"/>
      <c r="K42" s="26">
        <f t="shared" ref="K42:P42" si="14">+K41/K5</f>
        <v>388</v>
      </c>
      <c r="L42" s="26">
        <f t="shared" si="14"/>
        <v>501.6</v>
      </c>
      <c r="M42" s="26">
        <f t="shared" si="14"/>
        <v>368</v>
      </c>
      <c r="N42" s="26">
        <f t="shared" si="14"/>
        <v>404</v>
      </c>
      <c r="O42" s="26">
        <f t="shared" si="14"/>
        <v>562.66666666666663</v>
      </c>
      <c r="P42" s="26">
        <f t="shared" si="14"/>
        <v>467.2</v>
      </c>
      <c r="Q42" s="26"/>
      <c r="R42" s="26"/>
      <c r="S42" s="26"/>
      <c r="T42" s="26">
        <f>+T41/T5</f>
        <v>21.111111111111111</v>
      </c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99"/>
    </row>
    <row r="43" spans="2:32" x14ac:dyDescent="0.35">
      <c r="B43" s="98"/>
      <c r="C43" s="186"/>
      <c r="D43" s="90"/>
      <c r="E43" s="35" t="s">
        <v>43</v>
      </c>
      <c r="F43" s="31">
        <v>268</v>
      </c>
      <c r="G43" s="31">
        <v>150</v>
      </c>
      <c r="H43" s="31"/>
      <c r="I43" s="31"/>
      <c r="J43" s="31"/>
      <c r="K43" s="31">
        <v>485</v>
      </c>
      <c r="L43" s="25">
        <f>294+100+233</f>
        <v>627</v>
      </c>
      <c r="M43" s="25">
        <v>115</v>
      </c>
      <c r="N43" s="25">
        <v>202</v>
      </c>
      <c r="O43" s="25">
        <v>844</v>
      </c>
      <c r="P43" s="25">
        <v>584</v>
      </c>
      <c r="Q43" s="25"/>
      <c r="R43" s="25"/>
      <c r="S43" s="25"/>
      <c r="T43" s="25">
        <f>23.75</f>
        <v>23.75</v>
      </c>
      <c r="U43" s="25"/>
      <c r="V43" s="25"/>
      <c r="W43" s="25"/>
      <c r="X43" s="25"/>
      <c r="Y43" s="25"/>
      <c r="Z43" s="25"/>
      <c r="AA43" s="25"/>
      <c r="AB43" s="26">
        <f>SUM(F43:T43)</f>
        <v>3298.75</v>
      </c>
      <c r="AC43" s="26"/>
      <c r="AD43" s="36">
        <v>145.245</v>
      </c>
      <c r="AE43" s="26"/>
      <c r="AF43" s="99"/>
    </row>
    <row r="44" spans="2:32" x14ac:dyDescent="0.35">
      <c r="B44" s="98"/>
      <c r="C44" s="186"/>
      <c r="D44" s="90"/>
      <c r="E44" s="35" t="s">
        <v>44</v>
      </c>
      <c r="F44" s="26">
        <f>+F43/F5</f>
        <v>13.4</v>
      </c>
      <c r="G44" s="26">
        <f>+G43/G5</f>
        <v>15.789473684210526</v>
      </c>
      <c r="H44" s="26"/>
      <c r="I44" s="26"/>
      <c r="J44" s="26"/>
      <c r="K44" s="26">
        <f t="shared" ref="K44:P44" si="15">+K43/K5</f>
        <v>24.25</v>
      </c>
      <c r="L44" s="26">
        <f t="shared" si="15"/>
        <v>31.35</v>
      </c>
      <c r="M44" s="26">
        <f t="shared" si="15"/>
        <v>23</v>
      </c>
      <c r="N44" s="26">
        <f t="shared" si="15"/>
        <v>25.25</v>
      </c>
      <c r="O44" s="26">
        <f t="shared" si="15"/>
        <v>35.166666666666664</v>
      </c>
      <c r="P44" s="26">
        <f t="shared" si="15"/>
        <v>29.2</v>
      </c>
      <c r="Q44" s="26"/>
      <c r="R44" s="26"/>
      <c r="S44" s="26"/>
      <c r="T44" s="26">
        <f>+T43/T5</f>
        <v>1.3194444444444444</v>
      </c>
      <c r="U44" s="26"/>
      <c r="V44" s="26"/>
      <c r="W44" s="26"/>
      <c r="X44" s="26"/>
      <c r="Y44" s="26"/>
      <c r="Z44" s="26"/>
      <c r="AA44" s="26"/>
      <c r="AB44" s="26"/>
      <c r="AC44" s="26"/>
      <c r="AD44" s="90"/>
      <c r="AE44" s="26"/>
      <c r="AF44" s="99"/>
    </row>
    <row r="45" spans="2:32" ht="6" customHeight="1" x14ac:dyDescent="0.35">
      <c r="B45" s="98"/>
      <c r="C45" s="186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26"/>
      <c r="AC45" s="90"/>
      <c r="AD45" s="90"/>
      <c r="AE45" s="90"/>
      <c r="AF45" s="99"/>
    </row>
    <row r="46" spans="2:32" x14ac:dyDescent="0.35">
      <c r="B46" s="98"/>
      <c r="C46" s="186"/>
      <c r="D46" s="90"/>
      <c r="E46" s="100" t="s">
        <v>45</v>
      </c>
      <c r="F46" s="13">
        <f>+F48/F43</f>
        <v>157.50638059701492</v>
      </c>
      <c r="G46" s="13">
        <f t="shared" ref="G46:O46" si="16">+G48/G43</f>
        <v>161.72293333333334</v>
      </c>
      <c r="H46" s="13"/>
      <c r="I46" s="13"/>
      <c r="J46" s="13"/>
      <c r="K46" s="13">
        <f>+K48/K43</f>
        <v>140.95338144329898</v>
      </c>
      <c r="L46" s="13">
        <f t="shared" si="16"/>
        <v>132.79362041467306</v>
      </c>
      <c r="M46" s="13">
        <f t="shared" si="16"/>
        <v>110.22547826086956</v>
      </c>
      <c r="N46" s="13">
        <f t="shared" si="16"/>
        <v>133.88960396039604</v>
      </c>
      <c r="O46" s="13">
        <f t="shared" si="16"/>
        <v>126.08984597156399</v>
      </c>
      <c r="P46" s="13">
        <f>+P48/P43</f>
        <v>230.9227910958904</v>
      </c>
      <c r="Q46" s="13"/>
      <c r="R46" s="13"/>
      <c r="S46" s="13"/>
      <c r="T46" s="13">
        <f>+T48/T43</f>
        <v>219.70736842105265</v>
      </c>
      <c r="U46" s="13"/>
      <c r="V46" s="13"/>
      <c r="W46" s="13"/>
      <c r="X46" s="13"/>
      <c r="Y46" s="13"/>
      <c r="Z46" s="13"/>
      <c r="AA46" s="13"/>
      <c r="AB46" s="13">
        <f>AB48/AB43</f>
        <v>152.87989693065555</v>
      </c>
      <c r="AC46" s="13"/>
      <c r="AD46" s="90"/>
      <c r="AE46" s="13"/>
      <c r="AF46" s="99"/>
    </row>
    <row r="47" spans="2:32" ht="6" customHeight="1" x14ac:dyDescent="0.35">
      <c r="B47" s="98"/>
      <c r="C47" s="186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9"/>
    </row>
    <row r="48" spans="2:32" x14ac:dyDescent="0.35">
      <c r="B48" s="98"/>
      <c r="C48" s="186"/>
      <c r="D48" s="90"/>
      <c r="E48" s="101" t="s">
        <v>48</v>
      </c>
      <c r="F48" s="27">
        <f>+'2015 - Checks'!E12+'2015 - Checks'!E2</f>
        <v>42211.71</v>
      </c>
      <c r="G48" s="27">
        <f>+'2015 - Checks'!E3+'2015 - Checks'!E4+'2015 - Checks'!E13+'2015 - Checks'!E16</f>
        <v>24258.440000000002</v>
      </c>
      <c r="H48" s="27"/>
      <c r="I48" s="27"/>
      <c r="J48" s="27"/>
      <c r="K48" s="27">
        <f>+'2015 - Checks'!E17+'2015 - Checks'!E5</f>
        <v>68362.39</v>
      </c>
      <c r="L48" s="27">
        <f>'2015 - Checks'!E27</f>
        <v>83261.600000000006</v>
      </c>
      <c r="M48" s="27">
        <f>'2015 - Checks'!E20+'2015 - Checks'!E28</f>
        <v>12675.93</v>
      </c>
      <c r="N48" s="27">
        <f>+'2015 - Checks'!E21+'2015 - Checks'!E29</f>
        <v>27045.7</v>
      </c>
      <c r="O48" s="27">
        <f>+'2015 - Checks'!E22+'2015 - Checks'!E30</f>
        <v>106419.83</v>
      </c>
      <c r="P48" s="27">
        <f>+'2015 - Checks'!E8+'2015 - Checks'!E25</f>
        <v>134858.91</v>
      </c>
      <c r="Q48" s="27"/>
      <c r="R48" s="27"/>
      <c r="S48" s="27"/>
      <c r="T48" s="27">
        <f>'2015 - Checks'!E10</f>
        <v>5218.05</v>
      </c>
      <c r="U48" s="27"/>
      <c r="V48" s="27"/>
      <c r="W48" s="27"/>
      <c r="X48" s="27"/>
      <c r="Y48" s="27"/>
      <c r="Z48" s="27"/>
      <c r="AA48" s="27"/>
      <c r="AB48" s="27">
        <f>SUM(F48:T48)</f>
        <v>504312.56</v>
      </c>
      <c r="AC48" s="27"/>
      <c r="AD48" s="33">
        <f>71462.94+51963.17</f>
        <v>123426.11</v>
      </c>
      <c r="AE48" s="27">
        <f>SUM(AB48:AD48)</f>
        <v>627738.67000000004</v>
      </c>
      <c r="AF48" s="99"/>
    </row>
    <row r="49" spans="2:34" ht="6" customHeight="1" thickBot="1" x14ac:dyDescent="0.4">
      <c r="B49" s="102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4"/>
      <c r="AG49" s="90"/>
      <c r="AH49" s="90"/>
    </row>
    <row r="50" spans="2:34" ht="6" customHeight="1" thickBot="1" x14ac:dyDescent="0.4"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</row>
    <row r="51" spans="2:34" ht="6" customHeight="1" x14ac:dyDescent="0.35">
      <c r="B51" s="93"/>
      <c r="C51" s="94"/>
      <c r="D51" s="94"/>
      <c r="E51" s="94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97"/>
      <c r="AG51" s="90"/>
      <c r="AH51" s="90"/>
    </row>
    <row r="52" spans="2:34" ht="15" customHeight="1" x14ac:dyDescent="0.35">
      <c r="B52" s="98"/>
      <c r="C52" s="186">
        <v>2016</v>
      </c>
      <c r="D52" s="90"/>
      <c r="E52" s="35" t="s">
        <v>41</v>
      </c>
      <c r="F52" s="105">
        <f>+F54*16</f>
        <v>8512</v>
      </c>
      <c r="G52" s="105">
        <f>+G54*16</f>
        <v>4064</v>
      </c>
      <c r="H52" s="105"/>
      <c r="I52" s="105"/>
      <c r="J52" s="105"/>
      <c r="K52" s="105">
        <f t="shared" ref="K52:T52" si="17">+K54*16</f>
        <v>13088</v>
      </c>
      <c r="L52" s="105">
        <f t="shared" si="17"/>
        <v>14464</v>
      </c>
      <c r="M52" s="105">
        <f t="shared" si="17"/>
        <v>4800</v>
      </c>
      <c r="N52" s="105">
        <f t="shared" si="17"/>
        <v>8288</v>
      </c>
      <c r="O52" s="105">
        <f t="shared" si="17"/>
        <v>21664</v>
      </c>
      <c r="P52" s="105">
        <f t="shared" si="17"/>
        <v>12192</v>
      </c>
      <c r="Q52" s="105">
        <v>224</v>
      </c>
      <c r="R52" s="105"/>
      <c r="S52" s="105"/>
      <c r="T52" s="105">
        <f t="shared" si="17"/>
        <v>4528</v>
      </c>
      <c r="U52" s="105"/>
      <c r="V52" s="105"/>
      <c r="W52" s="105"/>
      <c r="X52" s="105"/>
      <c r="Y52" s="105"/>
      <c r="Z52" s="105"/>
      <c r="AA52" s="105"/>
      <c r="AB52" s="26">
        <f>SUM(F52:T52)</f>
        <v>91824</v>
      </c>
      <c r="AC52" s="105"/>
      <c r="AD52" s="105"/>
      <c r="AE52" s="105"/>
      <c r="AF52" s="99"/>
      <c r="AG52" s="90"/>
      <c r="AH52" s="90"/>
    </row>
    <row r="53" spans="2:34" ht="15" customHeight="1" x14ac:dyDescent="0.35">
      <c r="B53" s="98"/>
      <c r="C53" s="186"/>
      <c r="D53" s="90"/>
      <c r="E53" s="35" t="s">
        <v>42</v>
      </c>
      <c r="F53" s="26">
        <f>+F52/F5</f>
        <v>425.6</v>
      </c>
      <c r="G53" s="26">
        <f>+G52/G5</f>
        <v>427.78947368421052</v>
      </c>
      <c r="H53" s="26"/>
      <c r="I53" s="26"/>
      <c r="J53" s="26"/>
      <c r="K53" s="26">
        <f t="shared" ref="K53:Q53" si="18">+K52/K5</f>
        <v>654.4</v>
      </c>
      <c r="L53" s="26">
        <f t="shared" si="18"/>
        <v>723.2</v>
      </c>
      <c r="M53" s="26">
        <f t="shared" si="18"/>
        <v>960</v>
      </c>
      <c r="N53" s="26">
        <f t="shared" si="18"/>
        <v>1036</v>
      </c>
      <c r="O53" s="26">
        <f t="shared" si="18"/>
        <v>902.66666666666663</v>
      </c>
      <c r="P53" s="26">
        <f t="shared" si="18"/>
        <v>609.6</v>
      </c>
      <c r="Q53" s="26">
        <f t="shared" si="18"/>
        <v>11.2</v>
      </c>
      <c r="R53" s="26"/>
      <c r="S53" s="26"/>
      <c r="T53" s="26">
        <f>+T52/T5</f>
        <v>251.55555555555554</v>
      </c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99"/>
      <c r="AG53" s="90"/>
      <c r="AH53" s="90"/>
    </row>
    <row r="54" spans="2:34" ht="15" customHeight="1" x14ac:dyDescent="0.35">
      <c r="B54" s="98"/>
      <c r="C54" s="186"/>
      <c r="D54" s="90"/>
      <c r="E54" s="35" t="s">
        <v>43</v>
      </c>
      <c r="F54" s="31">
        <f>397+135</f>
        <v>532</v>
      </c>
      <c r="G54" s="31">
        <f>50+204</f>
        <v>254</v>
      </c>
      <c r="H54" s="31"/>
      <c r="I54" s="31"/>
      <c r="J54" s="31"/>
      <c r="K54" s="31">
        <v>818</v>
      </c>
      <c r="L54" s="25">
        <v>904</v>
      </c>
      <c r="M54" s="25">
        <v>300</v>
      </c>
      <c r="N54" s="25">
        <v>518</v>
      </c>
      <c r="O54" s="25">
        <v>1354</v>
      </c>
      <c r="P54" s="25">
        <v>762</v>
      </c>
      <c r="Q54" s="25">
        <v>14</v>
      </c>
      <c r="R54" s="25"/>
      <c r="S54" s="25"/>
      <c r="T54" s="25">
        <v>283</v>
      </c>
      <c r="U54" s="25"/>
      <c r="V54" s="25"/>
      <c r="W54" s="25"/>
      <c r="X54" s="25"/>
      <c r="Y54" s="25"/>
      <c r="Z54" s="25"/>
      <c r="AA54" s="25"/>
      <c r="AB54" s="26">
        <f>SUM(F54:T54)</f>
        <v>5739</v>
      </c>
      <c r="AC54" s="26"/>
      <c r="AD54" s="36">
        <v>8.8000000000000007</v>
      </c>
      <c r="AE54" s="26"/>
      <c r="AF54" s="99"/>
      <c r="AG54" s="90"/>
      <c r="AH54" s="90"/>
    </row>
    <row r="55" spans="2:34" ht="15" customHeight="1" x14ac:dyDescent="0.35">
      <c r="B55" s="98"/>
      <c r="C55" s="186"/>
      <c r="D55" s="90"/>
      <c r="E55" s="35" t="s">
        <v>44</v>
      </c>
      <c r="F55" s="26">
        <f>+F54/F5</f>
        <v>26.6</v>
      </c>
      <c r="G55" s="26">
        <f>+G54/G5</f>
        <v>26.736842105263158</v>
      </c>
      <c r="H55" s="26"/>
      <c r="I55" s="26"/>
      <c r="J55" s="26"/>
      <c r="K55" s="26">
        <f t="shared" ref="K55:Q55" si="19">+K54/K5</f>
        <v>40.9</v>
      </c>
      <c r="L55" s="26">
        <f t="shared" si="19"/>
        <v>45.2</v>
      </c>
      <c r="M55" s="26">
        <f t="shared" si="19"/>
        <v>60</v>
      </c>
      <c r="N55" s="26">
        <f t="shared" si="19"/>
        <v>64.75</v>
      </c>
      <c r="O55" s="26">
        <f t="shared" si="19"/>
        <v>56.416666666666664</v>
      </c>
      <c r="P55" s="26">
        <f t="shared" si="19"/>
        <v>38.1</v>
      </c>
      <c r="Q55" s="26">
        <f t="shared" si="19"/>
        <v>0.7</v>
      </c>
      <c r="R55" s="26"/>
      <c r="S55" s="26"/>
      <c r="T55" s="26">
        <f>+T54/T5</f>
        <v>15.722222222222221</v>
      </c>
      <c r="U55" s="26"/>
      <c r="V55" s="26"/>
      <c r="W55" s="26"/>
      <c r="X55" s="26"/>
      <c r="Y55" s="26"/>
      <c r="Z55" s="26"/>
      <c r="AA55" s="26"/>
      <c r="AB55" s="26"/>
      <c r="AC55" s="26"/>
      <c r="AD55" s="90"/>
      <c r="AE55" s="26"/>
      <c r="AF55" s="99"/>
      <c r="AG55" s="90"/>
      <c r="AH55" s="90"/>
    </row>
    <row r="56" spans="2:34" ht="15" customHeight="1" x14ac:dyDescent="0.35">
      <c r="B56" s="98"/>
      <c r="C56" s="186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26"/>
      <c r="AC56" s="90"/>
      <c r="AD56" s="90"/>
      <c r="AE56" s="90"/>
      <c r="AF56" s="99"/>
      <c r="AG56" s="90"/>
      <c r="AH56" s="90"/>
    </row>
    <row r="57" spans="2:34" ht="15" customHeight="1" x14ac:dyDescent="0.35">
      <c r="B57" s="98"/>
      <c r="C57" s="186"/>
      <c r="D57" s="90"/>
      <c r="E57" s="100" t="s">
        <v>45</v>
      </c>
      <c r="F57" s="13">
        <f t="shared" ref="F57:T57" si="20">+F59/F54</f>
        <v>142.35296258397472</v>
      </c>
      <c r="G57" s="13">
        <f t="shared" si="20"/>
        <v>50.541388668872017</v>
      </c>
      <c r="H57" s="13"/>
      <c r="I57" s="13"/>
      <c r="J57" s="13"/>
      <c r="K57" s="13">
        <f>+K59/K54</f>
        <v>62.688365547373451</v>
      </c>
      <c r="L57" s="13">
        <f t="shared" si="20"/>
        <v>100.31597345132744</v>
      </c>
      <c r="M57" s="13">
        <f t="shared" si="20"/>
        <v>86.459033333333323</v>
      </c>
      <c r="N57" s="13">
        <f t="shared" si="20"/>
        <v>85.335386100386103</v>
      </c>
      <c r="O57" s="13">
        <f t="shared" si="20"/>
        <v>75.788774002954213</v>
      </c>
      <c r="P57" s="13">
        <f t="shared" si="20"/>
        <v>88.878750873596417</v>
      </c>
      <c r="Q57" s="13">
        <f t="shared" si="20"/>
        <v>183.39928571428572</v>
      </c>
      <c r="R57" s="13"/>
      <c r="S57" s="13"/>
      <c r="T57" s="13">
        <f t="shared" si="20"/>
        <v>271.02565371024735</v>
      </c>
      <c r="U57" s="13"/>
      <c r="V57" s="13"/>
      <c r="W57" s="13"/>
      <c r="X57" s="13"/>
      <c r="Y57" s="13"/>
      <c r="Z57" s="13"/>
      <c r="AA57" s="13"/>
      <c r="AB57" s="13">
        <f>AB59/AB54</f>
        <v>95.885504443282812</v>
      </c>
      <c r="AC57" s="13"/>
      <c r="AD57" s="90"/>
      <c r="AE57" s="13"/>
      <c r="AF57" s="99"/>
      <c r="AG57" s="90"/>
      <c r="AH57" s="90"/>
    </row>
    <row r="58" spans="2:34" ht="15" customHeight="1" x14ac:dyDescent="0.35">
      <c r="B58" s="98"/>
      <c r="C58" s="186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9"/>
      <c r="AG58" s="90"/>
      <c r="AH58" s="90"/>
    </row>
    <row r="59" spans="2:34" ht="15" customHeight="1" x14ac:dyDescent="0.35">
      <c r="B59" s="98"/>
      <c r="C59" s="186"/>
      <c r="D59" s="90"/>
      <c r="E59" s="101" t="s">
        <v>48</v>
      </c>
      <c r="F59" s="27">
        <f>'2016 - Checks'!C54</f>
        <v>75731.776094674555</v>
      </c>
      <c r="G59" s="27">
        <f>'2016 - Checks'!C55</f>
        <v>12837.512721893492</v>
      </c>
      <c r="H59" s="27"/>
      <c r="I59" s="27"/>
      <c r="J59" s="27"/>
      <c r="K59" s="27">
        <f>'2016 - Checks'!C56</f>
        <v>51279.08301775148</v>
      </c>
      <c r="L59" s="27">
        <f>'2016 - Checks'!C57</f>
        <v>90685.64</v>
      </c>
      <c r="M59" s="27">
        <f>'2016 - Checks'!C58</f>
        <v>25937.71</v>
      </c>
      <c r="N59" s="27">
        <f>'2016 - Checks'!C59</f>
        <v>44203.73</v>
      </c>
      <c r="O59" s="27">
        <f>'2016 - Checks'!C60</f>
        <v>102618</v>
      </c>
      <c r="P59" s="27">
        <f>'2016 - Checks'!C61</f>
        <v>67725.608165680474</v>
      </c>
      <c r="Q59" s="27">
        <f>'2016 - Checks'!E22</f>
        <v>2567.59</v>
      </c>
      <c r="R59" s="27"/>
      <c r="S59" s="27"/>
      <c r="T59" s="27">
        <f>'2016 - Checks'!E18</f>
        <v>76700.259999999995</v>
      </c>
      <c r="U59" s="27"/>
      <c r="V59" s="27"/>
      <c r="W59" s="27"/>
      <c r="X59" s="27"/>
      <c r="Y59" s="27"/>
      <c r="Z59" s="27"/>
      <c r="AA59" s="27"/>
      <c r="AB59" s="27">
        <f>SUM(F59:T59)</f>
        <v>550286.91</v>
      </c>
      <c r="AC59" s="27"/>
      <c r="AD59" s="33">
        <v>10269.950000000001</v>
      </c>
      <c r="AE59" s="27">
        <f>SUM(AB59:AD59)</f>
        <v>560556.86</v>
      </c>
      <c r="AF59" s="99"/>
      <c r="AG59" s="90"/>
      <c r="AH59" t="s">
        <v>50</v>
      </c>
    </row>
    <row r="60" spans="2:34" ht="6" customHeight="1" thickBot="1" x14ac:dyDescent="0.4">
      <c r="B60" s="102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4"/>
      <c r="AG60" s="90"/>
      <c r="AH60" s="90"/>
    </row>
    <row r="61" spans="2:34" ht="6" customHeight="1" thickBot="1" x14ac:dyDescent="0.4"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</row>
    <row r="62" spans="2:34" ht="6" customHeight="1" x14ac:dyDescent="0.35">
      <c r="B62" s="93"/>
      <c r="C62" s="94"/>
      <c r="D62" s="94"/>
      <c r="E62" s="94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97"/>
      <c r="AG62" s="90"/>
      <c r="AH62" s="90"/>
    </row>
    <row r="63" spans="2:34" ht="15" customHeight="1" x14ac:dyDescent="0.35">
      <c r="B63" s="98"/>
      <c r="C63" s="186">
        <v>2017</v>
      </c>
      <c r="D63" s="90"/>
      <c r="E63" s="35" t="s">
        <v>41</v>
      </c>
      <c r="F63" s="105"/>
      <c r="G63" s="105"/>
      <c r="H63" s="105"/>
      <c r="I63" s="105"/>
      <c r="J63" s="105"/>
      <c r="K63" s="105">
        <f t="shared" ref="K63:T63" si="21">+K65*16</f>
        <v>11104</v>
      </c>
      <c r="L63" s="105">
        <f t="shared" si="21"/>
        <v>10472</v>
      </c>
      <c r="M63" s="105">
        <f t="shared" si="21"/>
        <v>2752</v>
      </c>
      <c r="N63" s="105">
        <f t="shared" si="21"/>
        <v>4288</v>
      </c>
      <c r="O63" s="105">
        <f t="shared" si="21"/>
        <v>15904</v>
      </c>
      <c r="P63" s="105">
        <f t="shared" si="21"/>
        <v>7776</v>
      </c>
      <c r="Q63" s="105">
        <f t="shared" si="21"/>
        <v>1504</v>
      </c>
      <c r="R63" s="105">
        <f t="shared" si="21"/>
        <v>1312</v>
      </c>
      <c r="S63" s="105"/>
      <c r="T63" s="105">
        <f t="shared" si="21"/>
        <v>4400</v>
      </c>
      <c r="U63" s="105"/>
      <c r="V63" s="105"/>
      <c r="W63" s="105"/>
      <c r="X63" s="105"/>
      <c r="Y63" s="105"/>
      <c r="Z63" s="105"/>
      <c r="AA63" s="105"/>
      <c r="AB63" s="26">
        <f>SUM(F63:T63)</f>
        <v>59512</v>
      </c>
      <c r="AC63" s="105"/>
      <c r="AD63" s="105"/>
      <c r="AE63" s="105"/>
      <c r="AF63" s="99"/>
      <c r="AG63" s="90"/>
      <c r="AH63" s="90"/>
    </row>
    <row r="64" spans="2:34" ht="15" customHeight="1" x14ac:dyDescent="0.35">
      <c r="B64" s="98"/>
      <c r="C64" s="186"/>
      <c r="D64" s="90"/>
      <c r="E64" s="35" t="s">
        <v>42</v>
      </c>
      <c r="F64" s="26"/>
      <c r="G64" s="26"/>
      <c r="H64" s="26"/>
      <c r="I64" s="26"/>
      <c r="J64" s="26"/>
      <c r="K64" s="26">
        <f t="shared" ref="K64:R64" si="22">+K63/K5</f>
        <v>555.20000000000005</v>
      </c>
      <c r="L64" s="26">
        <f t="shared" si="22"/>
        <v>523.6</v>
      </c>
      <c r="M64" s="26">
        <f t="shared" si="22"/>
        <v>550.4</v>
      </c>
      <c r="N64" s="26">
        <f t="shared" si="22"/>
        <v>536</v>
      </c>
      <c r="O64" s="26">
        <f t="shared" si="22"/>
        <v>662.66666666666663</v>
      </c>
      <c r="P64" s="26">
        <f t="shared" si="22"/>
        <v>388.8</v>
      </c>
      <c r="Q64" s="26">
        <f t="shared" si="22"/>
        <v>75.2</v>
      </c>
      <c r="R64" s="26">
        <f t="shared" si="22"/>
        <v>65.599999999999994</v>
      </c>
      <c r="S64" s="26"/>
      <c r="T64" s="26">
        <f>+T63/T5</f>
        <v>244.44444444444446</v>
      </c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99"/>
      <c r="AG64" s="90"/>
      <c r="AH64" s="90"/>
    </row>
    <row r="65" spans="2:34" ht="15" customHeight="1" x14ac:dyDescent="0.35">
      <c r="B65" s="98"/>
      <c r="C65" s="186"/>
      <c r="D65" s="90"/>
      <c r="E65" s="35" t="s">
        <v>43</v>
      </c>
      <c r="F65" s="31"/>
      <c r="G65" s="31"/>
      <c r="H65" s="31"/>
      <c r="I65" s="31"/>
      <c r="J65" s="31"/>
      <c r="K65" s="31">
        <v>694</v>
      </c>
      <c r="L65" s="25">
        <v>654.5</v>
      </c>
      <c r="M65" s="25">
        <v>172</v>
      </c>
      <c r="N65" s="25">
        <v>268</v>
      </c>
      <c r="O65" s="25">
        <v>994</v>
      </c>
      <c r="P65" s="25">
        <v>486</v>
      </c>
      <c r="Q65" s="25">
        <v>94</v>
      </c>
      <c r="R65" s="25">
        <v>82</v>
      </c>
      <c r="S65" s="25"/>
      <c r="T65" s="25">
        <v>275</v>
      </c>
      <c r="U65" s="25"/>
      <c r="V65" s="25"/>
      <c r="W65" s="25"/>
      <c r="X65" s="25"/>
      <c r="Y65" s="25"/>
      <c r="Z65" s="25"/>
      <c r="AA65" s="25"/>
      <c r="AB65" s="26">
        <f>SUM(F65:T65)</f>
        <v>3719.5</v>
      </c>
      <c r="AC65" s="26"/>
      <c r="AD65" s="36">
        <v>25.131</v>
      </c>
      <c r="AE65" s="26"/>
      <c r="AF65" s="99"/>
      <c r="AG65" s="90"/>
      <c r="AH65" s="90"/>
    </row>
    <row r="66" spans="2:34" ht="15" customHeight="1" x14ac:dyDescent="0.35">
      <c r="B66" s="98"/>
      <c r="C66" s="186"/>
      <c r="D66" s="90"/>
      <c r="E66" s="35" t="s">
        <v>44</v>
      </c>
      <c r="F66" s="26"/>
      <c r="G66" s="26"/>
      <c r="H66" s="26"/>
      <c r="I66" s="26"/>
      <c r="J66" s="26"/>
      <c r="K66" s="26">
        <f t="shared" ref="K66:R66" si="23">+K65/K5</f>
        <v>34.700000000000003</v>
      </c>
      <c r="L66" s="26">
        <f t="shared" si="23"/>
        <v>32.725000000000001</v>
      </c>
      <c r="M66" s="26">
        <f t="shared" si="23"/>
        <v>34.4</v>
      </c>
      <c r="N66" s="26">
        <f t="shared" si="23"/>
        <v>33.5</v>
      </c>
      <c r="O66" s="26">
        <f t="shared" si="23"/>
        <v>41.416666666666664</v>
      </c>
      <c r="P66" s="26">
        <f t="shared" si="23"/>
        <v>24.3</v>
      </c>
      <c r="Q66" s="26">
        <f t="shared" si="23"/>
        <v>4.7</v>
      </c>
      <c r="R66" s="26">
        <f t="shared" si="23"/>
        <v>4.0999999999999996</v>
      </c>
      <c r="S66" s="26"/>
      <c r="T66" s="26">
        <f>+T65/T5</f>
        <v>15.277777777777779</v>
      </c>
      <c r="U66" s="26"/>
      <c r="V66" s="26"/>
      <c r="W66" s="26"/>
      <c r="X66" s="26"/>
      <c r="Y66" s="26"/>
      <c r="Z66" s="26"/>
      <c r="AA66" s="26"/>
      <c r="AB66" s="26"/>
      <c r="AC66" s="26"/>
      <c r="AD66" s="90"/>
      <c r="AE66" s="26"/>
      <c r="AF66" s="99"/>
      <c r="AG66" s="90"/>
      <c r="AH66" s="90"/>
    </row>
    <row r="67" spans="2:34" ht="15" customHeight="1" x14ac:dyDescent="0.35">
      <c r="B67" s="98"/>
      <c r="C67" s="186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26"/>
      <c r="AC67" s="90"/>
      <c r="AD67" s="90"/>
      <c r="AE67" s="90"/>
      <c r="AF67" s="99"/>
      <c r="AG67" s="90"/>
      <c r="AH67" s="90"/>
    </row>
    <row r="68" spans="2:34" ht="15" customHeight="1" x14ac:dyDescent="0.35">
      <c r="B68" s="98"/>
      <c r="C68" s="186"/>
      <c r="D68" s="90"/>
      <c r="E68" s="100" t="s">
        <v>45</v>
      </c>
      <c r="F68" s="13"/>
      <c r="G68" s="13"/>
      <c r="H68" s="13"/>
      <c r="I68" s="13"/>
      <c r="J68" s="13"/>
      <c r="K68" s="13">
        <f>K70/K65</f>
        <v>166.82766570605187</v>
      </c>
      <c r="L68" s="13">
        <f>L70/L65</f>
        <v>243.79026737967916</v>
      </c>
      <c r="M68" s="13">
        <f t="shared" ref="M68:O68" si="24">M70/M65</f>
        <v>223.22790697674418</v>
      </c>
      <c r="N68" s="13">
        <f t="shared" si="24"/>
        <v>204.77563432835822</v>
      </c>
      <c r="O68" s="13">
        <f t="shared" si="24"/>
        <v>241.63240442655933</v>
      </c>
      <c r="P68" s="13">
        <f>+P70/P65</f>
        <v>295.81012345679011</v>
      </c>
      <c r="Q68" s="13">
        <f>+Q70/Q65</f>
        <v>135.19627659574468</v>
      </c>
      <c r="R68" s="13">
        <f>+R70/R65</f>
        <v>132.4208536585366</v>
      </c>
      <c r="S68" s="13"/>
      <c r="T68" s="13">
        <f>+T70/T65</f>
        <v>260.52774545454548</v>
      </c>
      <c r="U68" s="13"/>
      <c r="V68" s="13"/>
      <c r="W68" s="13"/>
      <c r="X68" s="13"/>
      <c r="Y68" s="13"/>
      <c r="Z68" s="13"/>
      <c r="AA68" s="13"/>
      <c r="AB68" s="13">
        <v>0</v>
      </c>
      <c r="AC68" s="13"/>
      <c r="AD68" s="90"/>
      <c r="AE68" s="13"/>
      <c r="AF68" s="99"/>
      <c r="AG68" s="90"/>
      <c r="AH68" s="90"/>
    </row>
    <row r="69" spans="2:34" ht="15" customHeight="1" x14ac:dyDescent="0.35">
      <c r="B69" s="98"/>
      <c r="C69" s="186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9"/>
      <c r="AG69" s="90"/>
      <c r="AH69" s="90"/>
    </row>
    <row r="70" spans="2:34" ht="15" customHeight="1" x14ac:dyDescent="0.35">
      <c r="B70" s="98"/>
      <c r="C70" s="186"/>
      <c r="D70" s="90"/>
      <c r="E70" s="101" t="s">
        <v>48</v>
      </c>
      <c r="F70" s="27"/>
      <c r="G70" s="27"/>
      <c r="H70" s="27"/>
      <c r="I70" s="27"/>
      <c r="J70" s="27"/>
      <c r="K70" s="27">
        <f>'2017 - Checks'!E5+'2017 - Checks'!E12+'2017 - Checks'!E14+'2017 - Checks'!E20</f>
        <v>115778.4</v>
      </c>
      <c r="L70" s="27">
        <f>'2017 - Checks'!E22+'2017 - Checks'!E30</f>
        <v>159560.73000000001</v>
      </c>
      <c r="M70" s="27">
        <f>'2017 - Checks'!E23+'2017 - Checks'!E31</f>
        <v>38395.199999999997</v>
      </c>
      <c r="N70" s="27">
        <f>'2017 - Checks'!E24+'2017 - Checks'!E32</f>
        <v>54879.87</v>
      </c>
      <c r="O70" s="27">
        <f>'2017 - Checks'!E25+'2017 - Checks'!E33</f>
        <v>240182.61</v>
      </c>
      <c r="P70" s="27">
        <f>'2017 - Checks'!E8+'2017 - Checks'!E28</f>
        <v>143763.72</v>
      </c>
      <c r="Q70" s="27">
        <f>'2017 - Checks'!E10</f>
        <v>12708.45</v>
      </c>
      <c r="R70" s="27">
        <f>'2017 - Checks'!E4+'2017 - Checks'!E18</f>
        <v>10858.51</v>
      </c>
      <c r="S70" s="27"/>
      <c r="T70" s="27">
        <f>'2017 - Checks'!E16</f>
        <v>71645.13</v>
      </c>
      <c r="U70" s="27"/>
      <c r="V70" s="27"/>
      <c r="W70" s="27"/>
      <c r="X70" s="27"/>
      <c r="Y70" s="27"/>
      <c r="Z70" s="27"/>
      <c r="AA70" s="27"/>
      <c r="AB70" s="27">
        <f>SUM(F70:T70)</f>
        <v>847772.62</v>
      </c>
      <c r="AC70" s="27"/>
      <c r="AD70" s="33">
        <v>28955.96</v>
      </c>
      <c r="AE70" s="27">
        <f>SUM(AB70:AD70)</f>
        <v>876728.58</v>
      </c>
      <c r="AF70" s="99"/>
      <c r="AG70" s="90"/>
      <c r="AH70" s="50" t="s">
        <v>51</v>
      </c>
    </row>
    <row r="71" spans="2:34" ht="6" customHeight="1" thickBot="1" x14ac:dyDescent="0.4">
      <c r="B71" s="102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4"/>
      <c r="AG71" s="90"/>
      <c r="AH71" s="90"/>
    </row>
    <row r="72" spans="2:34" ht="6" customHeight="1" thickBot="1" x14ac:dyDescent="0.4"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</row>
    <row r="73" spans="2:34" ht="6" customHeight="1" x14ac:dyDescent="0.35">
      <c r="B73" s="93"/>
      <c r="C73" s="94"/>
      <c r="D73" s="94"/>
      <c r="E73" s="94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97"/>
      <c r="AG73" s="90"/>
      <c r="AH73" s="90"/>
    </row>
    <row r="74" spans="2:34" ht="15" customHeight="1" x14ac:dyDescent="0.35">
      <c r="B74" s="98"/>
      <c r="C74" s="186">
        <v>2018</v>
      </c>
      <c r="D74" s="90"/>
      <c r="E74" s="35" t="s">
        <v>41</v>
      </c>
      <c r="F74" s="105"/>
      <c r="G74" s="105"/>
      <c r="H74" s="105"/>
      <c r="I74" s="105"/>
      <c r="J74" s="105">
        <f t="shared" ref="J74" si="25">+J76*16</f>
        <v>992</v>
      </c>
      <c r="K74" s="105">
        <f t="shared" ref="K74:T74" si="26">+K76*16</f>
        <v>8980</v>
      </c>
      <c r="L74" s="105">
        <f t="shared" si="26"/>
        <v>8064</v>
      </c>
      <c r="M74" s="105">
        <f t="shared" si="26"/>
        <v>2976</v>
      </c>
      <c r="N74" s="105">
        <f t="shared" si="26"/>
        <v>5280</v>
      </c>
      <c r="O74" s="105">
        <f t="shared" si="26"/>
        <v>15488</v>
      </c>
      <c r="P74" s="105">
        <f t="shared" si="26"/>
        <v>10688</v>
      </c>
      <c r="Q74" s="105">
        <f t="shared" si="26"/>
        <v>3280</v>
      </c>
      <c r="R74" s="105">
        <f t="shared" si="26"/>
        <v>1824</v>
      </c>
      <c r="S74" s="105"/>
      <c r="T74" s="105">
        <f t="shared" si="26"/>
        <v>13120</v>
      </c>
      <c r="U74" s="105"/>
      <c r="V74" s="105"/>
      <c r="W74" s="105"/>
      <c r="X74" s="105"/>
      <c r="Y74" s="105"/>
      <c r="Z74" s="105"/>
      <c r="AA74" s="105"/>
      <c r="AB74" s="26">
        <f>SUM(F74:T74)</f>
        <v>70692</v>
      </c>
      <c r="AC74" s="105"/>
      <c r="AD74" s="105"/>
      <c r="AE74" s="105"/>
      <c r="AF74" s="99"/>
      <c r="AG74" s="90"/>
      <c r="AH74" s="90"/>
    </row>
    <row r="75" spans="2:34" ht="15" customHeight="1" x14ac:dyDescent="0.35">
      <c r="B75" s="98"/>
      <c r="C75" s="186"/>
      <c r="D75" s="90"/>
      <c r="E75" s="35" t="s">
        <v>42</v>
      </c>
      <c r="F75" s="26"/>
      <c r="G75" s="26"/>
      <c r="H75" s="26"/>
      <c r="I75" s="26"/>
      <c r="J75" s="26">
        <f t="shared" ref="J75:R75" si="27">+J74/J5</f>
        <v>99.2</v>
      </c>
      <c r="K75" s="26">
        <f t="shared" si="27"/>
        <v>449</v>
      </c>
      <c r="L75" s="26">
        <f t="shared" si="27"/>
        <v>403.2</v>
      </c>
      <c r="M75" s="26">
        <f t="shared" si="27"/>
        <v>595.20000000000005</v>
      </c>
      <c r="N75" s="26">
        <f t="shared" si="27"/>
        <v>660</v>
      </c>
      <c r="O75" s="26">
        <f t="shared" si="27"/>
        <v>645.33333333333337</v>
      </c>
      <c r="P75" s="26">
        <f t="shared" si="27"/>
        <v>534.4</v>
      </c>
      <c r="Q75" s="26">
        <f t="shared" si="27"/>
        <v>164</v>
      </c>
      <c r="R75" s="26">
        <f t="shared" si="27"/>
        <v>91.2</v>
      </c>
      <c r="S75" s="26"/>
      <c r="T75" s="26">
        <f>+T74/T5</f>
        <v>728.88888888888891</v>
      </c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99"/>
      <c r="AG75" s="90"/>
      <c r="AH75" s="90"/>
    </row>
    <row r="76" spans="2:34" ht="15" customHeight="1" x14ac:dyDescent="0.35">
      <c r="B76" s="98"/>
      <c r="C76" s="186"/>
      <c r="D76" s="90"/>
      <c r="E76" s="35" t="s">
        <v>43</v>
      </c>
      <c r="F76" s="31"/>
      <c r="G76" s="31"/>
      <c r="H76" s="31"/>
      <c r="I76" s="31"/>
      <c r="J76" s="31">
        <v>62</v>
      </c>
      <c r="K76" s="31">
        <v>561.25</v>
      </c>
      <c r="L76" s="31">
        <v>504</v>
      </c>
      <c r="M76" s="31">
        <v>186</v>
      </c>
      <c r="N76" s="31">
        <v>330</v>
      </c>
      <c r="O76" s="31">
        <v>968</v>
      </c>
      <c r="P76" s="31">
        <f>100+250+318</f>
        <v>668</v>
      </c>
      <c r="Q76" s="31">
        <v>205</v>
      </c>
      <c r="R76" s="31">
        <v>114</v>
      </c>
      <c r="S76" s="31"/>
      <c r="T76" s="31">
        <v>820</v>
      </c>
      <c r="U76" s="31"/>
      <c r="V76" s="31"/>
      <c r="W76" s="31"/>
      <c r="X76" s="31"/>
      <c r="Y76" s="31"/>
      <c r="Z76" s="31"/>
      <c r="AA76" s="31"/>
      <c r="AB76" s="26">
        <f>SUM(F76:T76)</f>
        <v>4418.25</v>
      </c>
      <c r="AC76" s="26"/>
      <c r="AD76" s="36">
        <f>20.68+0.98</f>
        <v>21.66</v>
      </c>
      <c r="AE76" s="26"/>
      <c r="AF76" s="99"/>
      <c r="AG76" s="90"/>
      <c r="AH76" s="90"/>
    </row>
    <row r="77" spans="2:34" ht="15" customHeight="1" x14ac:dyDescent="0.35">
      <c r="B77" s="98"/>
      <c r="C77" s="186"/>
      <c r="D77" s="90"/>
      <c r="E77" s="35" t="s">
        <v>44</v>
      </c>
      <c r="F77" s="26"/>
      <c r="G77" s="26"/>
      <c r="H77" s="26"/>
      <c r="I77" s="26"/>
      <c r="J77" s="26">
        <f t="shared" ref="J77:R77" si="28">+J76/J5</f>
        <v>6.2</v>
      </c>
      <c r="K77" s="26">
        <f t="shared" si="28"/>
        <v>28.0625</v>
      </c>
      <c r="L77" s="26">
        <f t="shared" si="28"/>
        <v>25.2</v>
      </c>
      <c r="M77" s="26">
        <f t="shared" si="28"/>
        <v>37.200000000000003</v>
      </c>
      <c r="N77" s="26">
        <f t="shared" si="28"/>
        <v>41.25</v>
      </c>
      <c r="O77" s="26">
        <f t="shared" si="28"/>
        <v>40.333333333333336</v>
      </c>
      <c r="P77" s="26">
        <f t="shared" si="28"/>
        <v>33.4</v>
      </c>
      <c r="Q77" s="26">
        <f t="shared" si="28"/>
        <v>10.25</v>
      </c>
      <c r="R77" s="26">
        <f t="shared" si="28"/>
        <v>5.7</v>
      </c>
      <c r="S77" s="26"/>
      <c r="T77" s="26">
        <f>+T76/T5</f>
        <v>45.555555555555557</v>
      </c>
      <c r="U77" s="26"/>
      <c r="V77" s="26"/>
      <c r="W77" s="26"/>
      <c r="X77" s="26"/>
      <c r="Y77" s="26"/>
      <c r="Z77" s="26"/>
      <c r="AA77" s="26"/>
      <c r="AB77" s="26"/>
      <c r="AC77" s="26"/>
      <c r="AD77" s="90"/>
      <c r="AE77" s="26"/>
      <c r="AF77" s="99"/>
      <c r="AG77" s="90"/>
      <c r="AH77" s="90"/>
    </row>
    <row r="78" spans="2:34" ht="15" customHeight="1" x14ac:dyDescent="0.35">
      <c r="B78" s="98"/>
      <c r="C78" s="186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26"/>
      <c r="AC78" s="90"/>
      <c r="AD78" s="90"/>
      <c r="AE78" s="90"/>
      <c r="AF78" s="99"/>
      <c r="AG78" s="90"/>
      <c r="AH78" s="90"/>
    </row>
    <row r="79" spans="2:34" ht="15" customHeight="1" x14ac:dyDescent="0.35">
      <c r="B79" s="98"/>
      <c r="C79" s="186"/>
      <c r="D79" s="90"/>
      <c r="E79" s="100" t="s">
        <v>45</v>
      </c>
      <c r="F79" s="13"/>
      <c r="G79" s="34"/>
      <c r="H79" s="34"/>
      <c r="I79" s="34"/>
      <c r="J79" s="5">
        <f t="shared" ref="J79:T79" si="29">+J81/J76</f>
        <v>290.11241935483872</v>
      </c>
      <c r="K79" s="5">
        <f t="shared" si="29"/>
        <v>297.96429398663696</v>
      </c>
      <c r="L79" s="13">
        <f t="shared" si="29"/>
        <v>241.03146825396826</v>
      </c>
      <c r="M79" s="13">
        <f t="shared" si="29"/>
        <v>227.81677419354838</v>
      </c>
      <c r="N79" s="13">
        <f t="shared" si="29"/>
        <v>186.44060606060606</v>
      </c>
      <c r="O79" s="13">
        <f t="shared" si="29"/>
        <v>202.04183884297521</v>
      </c>
      <c r="P79" s="13">
        <f t="shared" si="29"/>
        <v>323.28392215568857</v>
      </c>
      <c r="Q79" s="5">
        <f t="shared" si="29"/>
        <v>329.63248780487805</v>
      </c>
      <c r="R79" s="13">
        <f t="shared" si="29"/>
        <v>257.70192982456143</v>
      </c>
      <c r="S79" s="13"/>
      <c r="T79" s="13">
        <f t="shared" si="29"/>
        <v>333.43941463414637</v>
      </c>
      <c r="U79" s="13"/>
      <c r="V79" s="13"/>
      <c r="W79" s="13"/>
      <c r="X79" s="13"/>
      <c r="Y79" s="13"/>
      <c r="Z79" s="13"/>
      <c r="AA79" s="13"/>
      <c r="AB79" s="13"/>
      <c r="AC79" s="13"/>
      <c r="AD79" s="90"/>
      <c r="AE79" s="13"/>
      <c r="AF79" s="99"/>
      <c r="AG79" s="90"/>
      <c r="AH79" s="90"/>
    </row>
    <row r="80" spans="2:34" ht="15" customHeight="1" x14ac:dyDescent="0.35">
      <c r="B80" s="98"/>
      <c r="C80" s="186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9"/>
      <c r="AG80" s="90"/>
      <c r="AH80" s="107"/>
    </row>
    <row r="81" spans="2:32" ht="15" customHeight="1" x14ac:dyDescent="0.35">
      <c r="B81" s="98"/>
      <c r="C81" s="186"/>
      <c r="D81" s="90"/>
      <c r="E81" s="101" t="s">
        <v>48</v>
      </c>
      <c r="F81" s="27"/>
      <c r="G81" s="27"/>
      <c r="H81" s="27"/>
      <c r="I81" s="27"/>
      <c r="J81" s="27">
        <f>'2018 - Checks'!C77</f>
        <v>17986.97</v>
      </c>
      <c r="K81" s="27">
        <f>'2018 - Checks'!C78</f>
        <v>167232.46</v>
      </c>
      <c r="L81" s="27">
        <f>'2018 - Checks'!C79</f>
        <v>121479.86</v>
      </c>
      <c r="M81" s="27">
        <f>'2018 - Checks'!C80</f>
        <v>42373.919999999998</v>
      </c>
      <c r="N81" s="27">
        <f>'2018 - Checks'!C81</f>
        <v>61525.4</v>
      </c>
      <c r="O81" s="27">
        <f>'2018 - Checks'!C82</f>
        <v>195576.5</v>
      </c>
      <c r="P81" s="27">
        <f>'2018 - Checks'!C83</f>
        <v>215953.65999999997</v>
      </c>
      <c r="Q81" s="27">
        <f>'2018 - Checks'!C84</f>
        <v>67574.66</v>
      </c>
      <c r="R81" s="27">
        <f>'2018 - Checks'!C85</f>
        <v>29378.02</v>
      </c>
      <c r="S81" s="27"/>
      <c r="T81" s="27">
        <f>'2018 - Checks'!C86</f>
        <v>273420.32</v>
      </c>
      <c r="U81" s="27"/>
      <c r="V81" s="27"/>
      <c r="W81" s="27"/>
      <c r="X81" s="27"/>
      <c r="Y81" s="27"/>
      <c r="Z81" s="27"/>
      <c r="AA81" s="27"/>
      <c r="AB81" s="27">
        <f>SUM(F81:T81)</f>
        <v>1192501.77</v>
      </c>
      <c r="AC81" s="27"/>
      <c r="AD81" s="33">
        <v>26322.09</v>
      </c>
      <c r="AE81" s="27">
        <f>SUM(AB81:AD81)</f>
        <v>1218823.8600000001</v>
      </c>
      <c r="AF81" s="99"/>
    </row>
    <row r="82" spans="2:32" ht="6" customHeight="1" thickBot="1" x14ac:dyDescent="0.4">
      <c r="B82" s="102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4"/>
    </row>
    <row r="83" spans="2:32" ht="6" customHeight="1" thickBot="1" x14ac:dyDescent="0.4"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</row>
    <row r="84" spans="2:32" ht="6" customHeight="1" x14ac:dyDescent="0.35">
      <c r="B84" s="93"/>
      <c r="C84" s="94"/>
      <c r="D84" s="94"/>
      <c r="E84" s="94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97"/>
    </row>
    <row r="85" spans="2:32" ht="15" customHeight="1" x14ac:dyDescent="0.35">
      <c r="B85" s="98"/>
      <c r="C85" s="186">
        <v>2019</v>
      </c>
      <c r="D85" s="90"/>
      <c r="E85" s="35" t="s">
        <v>41</v>
      </c>
      <c r="F85" s="105"/>
      <c r="G85" s="105"/>
      <c r="H85" s="105"/>
      <c r="I85" s="105"/>
      <c r="J85" s="105">
        <f t="shared" ref="J85:T85" si="30">+J87*16</f>
        <v>3152</v>
      </c>
      <c r="K85" s="105">
        <f t="shared" si="30"/>
        <v>9328</v>
      </c>
      <c r="L85" s="105">
        <f t="shared" si="30"/>
        <v>12848</v>
      </c>
      <c r="M85" s="105">
        <f t="shared" si="30"/>
        <v>3424</v>
      </c>
      <c r="N85" s="105">
        <f t="shared" si="30"/>
        <v>6144</v>
      </c>
      <c r="O85" s="105">
        <f t="shared" si="30"/>
        <v>18432</v>
      </c>
      <c r="P85" s="105">
        <f t="shared" si="30"/>
        <v>11584</v>
      </c>
      <c r="Q85" s="105">
        <f t="shared" si="30"/>
        <v>7648</v>
      </c>
      <c r="R85" s="105">
        <f t="shared" si="30"/>
        <v>6448</v>
      </c>
      <c r="S85" s="105"/>
      <c r="T85" s="105">
        <f t="shared" si="30"/>
        <v>10324</v>
      </c>
      <c r="U85" s="105"/>
      <c r="V85" s="105"/>
      <c r="W85" s="105"/>
      <c r="X85" s="105"/>
      <c r="Y85" s="105"/>
      <c r="Z85" s="105"/>
      <c r="AA85" s="105"/>
      <c r="AB85" s="26">
        <f>SUM(F85:T85)</f>
        <v>89332</v>
      </c>
      <c r="AC85" s="105"/>
      <c r="AD85" s="105"/>
      <c r="AE85" s="105"/>
      <c r="AF85" s="99"/>
    </row>
    <row r="86" spans="2:32" ht="15" customHeight="1" x14ac:dyDescent="0.35">
      <c r="B86" s="98"/>
      <c r="C86" s="186"/>
      <c r="D86" s="90"/>
      <c r="E86" s="35" t="s">
        <v>42</v>
      </c>
      <c r="F86" s="26"/>
      <c r="G86" s="26"/>
      <c r="H86" s="26"/>
      <c r="I86" s="26"/>
      <c r="J86" s="26">
        <f t="shared" ref="J86:R86" si="31">+J85/J5</f>
        <v>315.2</v>
      </c>
      <c r="K86" s="26">
        <f t="shared" si="31"/>
        <v>466.4</v>
      </c>
      <c r="L86" s="26">
        <f t="shared" si="31"/>
        <v>642.4</v>
      </c>
      <c r="M86" s="26">
        <f t="shared" si="31"/>
        <v>684.8</v>
      </c>
      <c r="N86" s="26">
        <f t="shared" si="31"/>
        <v>768</v>
      </c>
      <c r="O86" s="26">
        <f t="shared" si="31"/>
        <v>768</v>
      </c>
      <c r="P86" s="26">
        <f t="shared" si="31"/>
        <v>579.20000000000005</v>
      </c>
      <c r="Q86" s="26">
        <f t="shared" si="31"/>
        <v>382.4</v>
      </c>
      <c r="R86" s="26">
        <f t="shared" si="31"/>
        <v>322.39999999999998</v>
      </c>
      <c r="S86" s="26"/>
      <c r="T86" s="26">
        <f>+T85/T5</f>
        <v>573.55555555555554</v>
      </c>
      <c r="U86" s="26"/>
      <c r="V86" s="26"/>
      <c r="W86" s="26"/>
      <c r="X86" s="26"/>
      <c r="Y86" s="26"/>
      <c r="Z86" s="26"/>
      <c r="AA86" s="26"/>
      <c r="AB86" s="26">
        <f>SUM(F86:T86)</f>
        <v>5502.3555555555549</v>
      </c>
      <c r="AC86" s="26"/>
      <c r="AD86" s="26"/>
      <c r="AE86" s="26"/>
      <c r="AF86" s="99"/>
    </row>
    <row r="87" spans="2:32" ht="15" customHeight="1" x14ac:dyDescent="0.35">
      <c r="B87" s="98"/>
      <c r="C87" s="186"/>
      <c r="D87" s="90"/>
      <c r="E87" s="35" t="s">
        <v>43</v>
      </c>
      <c r="F87" s="31"/>
      <c r="G87" s="31"/>
      <c r="H87" s="31"/>
      <c r="I87" s="31"/>
      <c r="J87" s="31">
        <v>197</v>
      </c>
      <c r="K87" s="31">
        <v>583</v>
      </c>
      <c r="L87" s="31">
        <v>803</v>
      </c>
      <c r="M87" s="31">
        <v>214</v>
      </c>
      <c r="N87" s="31">
        <v>384</v>
      </c>
      <c r="O87" s="31">
        <v>1152</v>
      </c>
      <c r="P87" s="31">
        <v>724</v>
      </c>
      <c r="Q87" s="31">
        <v>478</v>
      </c>
      <c r="R87" s="31">
        <v>403</v>
      </c>
      <c r="S87" s="31"/>
      <c r="T87" s="31">
        <v>645.25</v>
      </c>
      <c r="U87" s="31"/>
      <c r="V87" s="31"/>
      <c r="W87" s="31"/>
      <c r="X87" s="31"/>
      <c r="Y87" s="31"/>
      <c r="Z87" s="31"/>
      <c r="AA87" s="31"/>
      <c r="AB87" s="26">
        <f>SUM(F87:T87)</f>
        <v>5583.25</v>
      </c>
      <c r="AC87" s="26"/>
      <c r="AD87" s="26"/>
      <c r="AE87" s="26"/>
      <c r="AF87" s="99"/>
    </row>
    <row r="88" spans="2:32" ht="15" customHeight="1" x14ac:dyDescent="0.35">
      <c r="B88" s="98"/>
      <c r="C88" s="186"/>
      <c r="D88" s="90"/>
      <c r="E88" s="35" t="s">
        <v>44</v>
      </c>
      <c r="F88" s="26"/>
      <c r="G88" s="26"/>
      <c r="H88" s="26"/>
      <c r="I88" s="26"/>
      <c r="J88" s="26">
        <f t="shared" ref="J88:R88" si="32">+J87/J5</f>
        <v>19.7</v>
      </c>
      <c r="K88" s="26">
        <f t="shared" si="32"/>
        <v>29.15</v>
      </c>
      <c r="L88" s="26">
        <f t="shared" si="32"/>
        <v>40.15</v>
      </c>
      <c r="M88" s="26">
        <f t="shared" si="32"/>
        <v>42.8</v>
      </c>
      <c r="N88" s="26">
        <f t="shared" si="32"/>
        <v>48</v>
      </c>
      <c r="O88" s="26">
        <f t="shared" si="32"/>
        <v>48</v>
      </c>
      <c r="P88" s="26">
        <f t="shared" si="32"/>
        <v>36.200000000000003</v>
      </c>
      <c r="Q88" s="26">
        <f t="shared" si="32"/>
        <v>23.9</v>
      </c>
      <c r="R88" s="26">
        <f t="shared" si="32"/>
        <v>20.149999999999999</v>
      </c>
      <c r="S88" s="26"/>
      <c r="T88" s="26">
        <f>+T87/T5</f>
        <v>35.847222222222221</v>
      </c>
      <c r="U88" s="26"/>
      <c r="V88" s="26"/>
      <c r="W88" s="26"/>
      <c r="X88" s="26"/>
      <c r="Y88" s="26"/>
      <c r="Z88" s="26"/>
      <c r="AA88" s="26"/>
      <c r="AB88" s="26">
        <f>SUM(F88:T88)</f>
        <v>343.89722222222218</v>
      </c>
      <c r="AC88" s="26"/>
      <c r="AD88" s="90"/>
      <c r="AE88" s="26"/>
      <c r="AF88" s="99"/>
    </row>
    <row r="89" spans="2:32" ht="15" customHeight="1" x14ac:dyDescent="0.35">
      <c r="B89" s="98"/>
      <c r="C89" s="186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26"/>
      <c r="AC89" s="90"/>
      <c r="AD89" s="90"/>
      <c r="AE89" s="90"/>
      <c r="AF89" s="99"/>
    </row>
    <row r="90" spans="2:32" ht="15" customHeight="1" x14ac:dyDescent="0.35">
      <c r="B90" s="98"/>
      <c r="C90" s="186"/>
      <c r="D90" s="90"/>
      <c r="E90" s="100" t="s">
        <v>45</v>
      </c>
      <c r="F90" s="13"/>
      <c r="G90" s="34"/>
      <c r="H90" s="34"/>
      <c r="I90" s="34"/>
      <c r="J90" s="13">
        <f t="shared" ref="J90:T90" si="33">+J92/J87</f>
        <v>214.78426395939087</v>
      </c>
      <c r="K90" s="5">
        <f t="shared" si="33"/>
        <v>53.247015437392797</v>
      </c>
      <c r="L90" s="5">
        <f t="shared" si="33"/>
        <v>103.52734744707348</v>
      </c>
      <c r="M90" s="13">
        <f t="shared" si="33"/>
        <v>99.515841121495328</v>
      </c>
      <c r="N90" s="13">
        <f t="shared" si="33"/>
        <v>95.477708333333339</v>
      </c>
      <c r="O90" s="13">
        <f t="shared" si="33"/>
        <v>100.70726562500001</v>
      </c>
      <c r="P90" s="13">
        <f t="shared" si="33"/>
        <v>87.76125690607735</v>
      </c>
      <c r="Q90" s="5">
        <f t="shared" si="33"/>
        <v>289.16702928870291</v>
      </c>
      <c r="R90" s="13">
        <f t="shared" si="33"/>
        <v>60.183622828784117</v>
      </c>
      <c r="S90" s="13"/>
      <c r="T90" s="13">
        <f t="shared" si="33"/>
        <v>325.51065478496707</v>
      </c>
      <c r="U90" s="13"/>
      <c r="V90" s="13"/>
      <c r="W90" s="13"/>
      <c r="X90" s="13"/>
      <c r="Y90" s="13"/>
      <c r="Z90" s="13"/>
      <c r="AA90" s="13"/>
      <c r="AB90" s="13"/>
      <c r="AC90" s="13"/>
      <c r="AD90" s="90"/>
      <c r="AE90" s="13"/>
      <c r="AF90" s="99"/>
    </row>
    <row r="91" spans="2:32" ht="15" customHeight="1" x14ac:dyDescent="0.35">
      <c r="B91" s="98"/>
      <c r="C91" s="186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9"/>
    </row>
    <row r="92" spans="2:32" ht="15" customHeight="1" x14ac:dyDescent="0.35">
      <c r="B92" s="98"/>
      <c r="C92" s="186"/>
      <c r="D92" s="90"/>
      <c r="E92" s="101" t="s">
        <v>48</v>
      </c>
      <c r="F92" s="27"/>
      <c r="G92" s="27"/>
      <c r="H92" s="27"/>
      <c r="I92" s="27"/>
      <c r="J92" s="27">
        <f>'2019 - Checks'!D5+'2019 - Checks'!D15</f>
        <v>42312.5</v>
      </c>
      <c r="K92" s="27">
        <f>SUM('2019 - Checks'!D9,'2019 - Checks'!D12,'2019 - Checks'!D13,'2019 - Checks'!D22,'2019 - Checks'!D28,'2019 - Checks'!D31,'2019 - Checks'!D36)</f>
        <v>31043.010000000002</v>
      </c>
      <c r="L92" s="27">
        <v>83132.460000000006</v>
      </c>
      <c r="M92" s="27">
        <v>21296.39</v>
      </c>
      <c r="N92" s="27">
        <v>36663.440000000002</v>
      </c>
      <c r="O92" s="27">
        <v>116014.77</v>
      </c>
      <c r="P92" s="27">
        <f>SUM('2019 - Checks'!D17,'2019 - Checks'!D24,'2019 - Checks'!D33,'2019 - Checks'!D34)</f>
        <v>63539.15</v>
      </c>
      <c r="Q92" s="27">
        <f>SUM('2019 - Checks'!D7,'2019 - Checks'!D11,'2019 - Checks'!D18,'2019 - Checks'!D26)</f>
        <v>138221.84</v>
      </c>
      <c r="R92" s="27">
        <f>SUM('2019 - Checks'!D20,'2019 - Checks'!D35)</f>
        <v>24254</v>
      </c>
      <c r="S92" s="27"/>
      <c r="T92" s="27">
        <f>SUM('2019 - Checks'!D3,'2019 - Checks'!D8,'2019 - Checks'!D30)</f>
        <v>210035.75</v>
      </c>
      <c r="U92" s="27"/>
      <c r="V92" s="27"/>
      <c r="W92" s="27"/>
      <c r="X92" s="27"/>
      <c r="Y92" s="27"/>
      <c r="Z92" s="27"/>
      <c r="AA92" s="27"/>
      <c r="AB92" s="27">
        <f>SUM(F92:T92)</f>
        <v>766513.31</v>
      </c>
      <c r="AC92" s="27"/>
      <c r="AD92" s="33">
        <v>0</v>
      </c>
      <c r="AE92" s="27">
        <f>SUM(AB92:AD92)</f>
        <v>766513.31</v>
      </c>
      <c r="AF92" s="99"/>
    </row>
    <row r="93" spans="2:32" ht="6" customHeight="1" thickBot="1" x14ac:dyDescent="0.4">
      <c r="B93" s="102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4"/>
    </row>
    <row r="94" spans="2:32" ht="6" customHeight="1" thickBot="1" x14ac:dyDescent="0.4"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</row>
    <row r="95" spans="2:32" ht="6" customHeight="1" x14ac:dyDescent="0.35">
      <c r="B95" s="93"/>
      <c r="C95" s="94"/>
      <c r="D95" s="94"/>
      <c r="E95" s="94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97"/>
    </row>
    <row r="96" spans="2:32" ht="15" customHeight="1" x14ac:dyDescent="0.35">
      <c r="B96" s="98"/>
      <c r="C96" s="186">
        <v>2020</v>
      </c>
      <c r="D96" s="90"/>
      <c r="E96" s="35" t="s">
        <v>41</v>
      </c>
      <c r="F96" s="105"/>
      <c r="G96" s="105"/>
      <c r="H96" s="105"/>
      <c r="I96" s="105">
        <f t="shared" ref="I96" si="34">+I98*16</f>
        <v>164</v>
      </c>
      <c r="J96" s="105">
        <f t="shared" ref="J96:T96" si="35">+J98*16</f>
        <v>1856</v>
      </c>
      <c r="K96" s="105">
        <f t="shared" si="35"/>
        <v>9440</v>
      </c>
      <c r="L96" s="105">
        <f t="shared" si="35"/>
        <v>9728</v>
      </c>
      <c r="M96" s="105">
        <f t="shared" si="35"/>
        <v>3376</v>
      </c>
      <c r="N96" s="105">
        <f t="shared" si="35"/>
        <v>5760</v>
      </c>
      <c r="O96" s="105">
        <f t="shared" si="35"/>
        <v>17664</v>
      </c>
      <c r="P96" s="105">
        <f t="shared" si="35"/>
        <v>9824</v>
      </c>
      <c r="Q96" s="105">
        <f t="shared" si="35"/>
        <v>9984</v>
      </c>
      <c r="R96" s="105">
        <f t="shared" si="35"/>
        <v>6604</v>
      </c>
      <c r="S96" s="105"/>
      <c r="T96" s="105">
        <f t="shared" si="35"/>
        <v>13896</v>
      </c>
      <c r="U96" s="105"/>
      <c r="V96" s="105"/>
      <c r="W96" s="105"/>
      <c r="X96" s="105"/>
      <c r="Y96" s="105"/>
      <c r="Z96" s="105"/>
      <c r="AA96" s="105"/>
      <c r="AB96" s="26">
        <f>SUM(F96:T96)</f>
        <v>88296</v>
      </c>
      <c r="AC96" s="105"/>
      <c r="AD96" s="105"/>
      <c r="AE96" s="105"/>
      <c r="AF96" s="99"/>
    </row>
    <row r="97" spans="2:32" ht="15" customHeight="1" x14ac:dyDescent="0.35">
      <c r="B97" s="98"/>
      <c r="C97" s="186"/>
      <c r="D97" s="90"/>
      <c r="E97" s="35" t="s">
        <v>42</v>
      </c>
      <c r="F97" s="26"/>
      <c r="G97" s="26"/>
      <c r="H97" s="26"/>
      <c r="I97" s="26">
        <f t="shared" ref="I97:R97" si="36">+I96/I5</f>
        <v>16.399999999999999</v>
      </c>
      <c r="J97" s="26">
        <f t="shared" si="36"/>
        <v>185.6</v>
      </c>
      <c r="K97" s="26">
        <f t="shared" si="36"/>
        <v>472</v>
      </c>
      <c r="L97" s="26">
        <f t="shared" si="36"/>
        <v>486.4</v>
      </c>
      <c r="M97" s="26">
        <f t="shared" si="36"/>
        <v>675.2</v>
      </c>
      <c r="N97" s="26">
        <f t="shared" si="36"/>
        <v>720</v>
      </c>
      <c r="O97" s="26">
        <f t="shared" si="36"/>
        <v>736</v>
      </c>
      <c r="P97" s="26">
        <f t="shared" si="36"/>
        <v>491.2</v>
      </c>
      <c r="Q97" s="26">
        <f t="shared" si="36"/>
        <v>499.2</v>
      </c>
      <c r="R97" s="26">
        <f t="shared" si="36"/>
        <v>330.2</v>
      </c>
      <c r="S97" s="26"/>
      <c r="T97" s="26">
        <f>+T96/T5</f>
        <v>772</v>
      </c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99"/>
    </row>
    <row r="98" spans="2:32" ht="15" customHeight="1" x14ac:dyDescent="0.35">
      <c r="B98" s="98"/>
      <c r="C98" s="186"/>
      <c r="D98" s="90"/>
      <c r="E98" s="35" t="s">
        <v>43</v>
      </c>
      <c r="F98" s="31"/>
      <c r="G98" s="31"/>
      <c r="H98" s="31"/>
      <c r="I98" s="31">
        <v>10.25</v>
      </c>
      <c r="J98" s="31">
        <v>116</v>
      </c>
      <c r="K98" s="31">
        <v>590</v>
      </c>
      <c r="L98" s="31">
        <f>130+62+98+215+46+57</f>
        <v>608</v>
      </c>
      <c r="M98" s="31">
        <v>211</v>
      </c>
      <c r="N98" s="31">
        <v>360</v>
      </c>
      <c r="O98" s="31">
        <v>1104</v>
      </c>
      <c r="P98" s="31">
        <v>614</v>
      </c>
      <c r="Q98" s="31">
        <v>624</v>
      </c>
      <c r="R98" s="31">
        <v>412.75</v>
      </c>
      <c r="S98" s="31"/>
      <c r="T98" s="31">
        <v>868.5</v>
      </c>
      <c r="U98" s="31"/>
      <c r="V98" s="31"/>
      <c r="W98" s="31"/>
      <c r="X98" s="31"/>
      <c r="Y98" s="31"/>
      <c r="Z98" s="31"/>
      <c r="AA98" s="31"/>
      <c r="AB98" s="26">
        <f>SUM(F98:T98)</f>
        <v>5518.5</v>
      </c>
      <c r="AC98" s="26"/>
      <c r="AD98" s="26"/>
      <c r="AE98" s="26"/>
      <c r="AF98" s="99"/>
    </row>
    <row r="99" spans="2:32" ht="15" customHeight="1" x14ac:dyDescent="0.35">
      <c r="B99" s="98"/>
      <c r="C99" s="186"/>
      <c r="D99" s="90"/>
      <c r="E99" s="35" t="s">
        <v>44</v>
      </c>
      <c r="F99" s="26"/>
      <c r="G99" s="26"/>
      <c r="H99" s="26"/>
      <c r="I99" s="26">
        <f t="shared" ref="I99:R99" si="37">+I98/I5</f>
        <v>1.0249999999999999</v>
      </c>
      <c r="J99" s="26">
        <f t="shared" si="37"/>
        <v>11.6</v>
      </c>
      <c r="K99" s="26">
        <f t="shared" si="37"/>
        <v>29.5</v>
      </c>
      <c r="L99" s="26">
        <f t="shared" si="37"/>
        <v>30.4</v>
      </c>
      <c r="M99" s="26">
        <f t="shared" si="37"/>
        <v>42.2</v>
      </c>
      <c r="N99" s="26">
        <f t="shared" si="37"/>
        <v>45</v>
      </c>
      <c r="O99" s="26">
        <f t="shared" si="37"/>
        <v>46</v>
      </c>
      <c r="P99" s="26">
        <f t="shared" si="37"/>
        <v>30.7</v>
      </c>
      <c r="Q99" s="26">
        <f t="shared" si="37"/>
        <v>31.2</v>
      </c>
      <c r="R99" s="26">
        <f t="shared" si="37"/>
        <v>20.637499999999999</v>
      </c>
      <c r="S99" s="26"/>
      <c r="T99" s="26">
        <f>+T98/T5</f>
        <v>48.25</v>
      </c>
      <c r="U99" s="26"/>
      <c r="V99" s="26"/>
      <c r="W99" s="26"/>
      <c r="X99" s="26"/>
      <c r="Y99" s="26"/>
      <c r="Z99" s="26"/>
      <c r="AA99" s="26"/>
      <c r="AB99" s="26"/>
      <c r="AC99" s="26"/>
      <c r="AD99" s="90"/>
      <c r="AE99" s="26"/>
      <c r="AF99" s="99"/>
    </row>
    <row r="100" spans="2:32" ht="15" customHeight="1" x14ac:dyDescent="0.35">
      <c r="B100" s="98"/>
      <c r="C100" s="186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26"/>
      <c r="AC100" s="90"/>
      <c r="AD100" s="90"/>
      <c r="AE100" s="90"/>
      <c r="AF100" s="99"/>
    </row>
    <row r="101" spans="2:32" ht="15" customHeight="1" x14ac:dyDescent="0.35">
      <c r="B101" s="98"/>
      <c r="C101" s="186"/>
      <c r="D101" s="90"/>
      <c r="E101" s="100" t="s">
        <v>45</v>
      </c>
      <c r="F101" s="13"/>
      <c r="G101" s="34"/>
      <c r="H101" s="34"/>
      <c r="I101" s="13">
        <f>+I103/I98</f>
        <v>304.42439024390245</v>
      </c>
      <c r="J101" s="13">
        <f>+J103/J98</f>
        <v>273.00146551724134</v>
      </c>
      <c r="K101" s="13">
        <f t="shared" ref="K101:T101" si="38">+K103/K98</f>
        <v>102.83327118644067</v>
      </c>
      <c r="L101" s="13">
        <f>L103/L98</f>
        <v>176.00967105263157</v>
      </c>
      <c r="M101" s="13">
        <f>M103/M98</f>
        <v>151.98914691943128</v>
      </c>
      <c r="N101" s="13">
        <f>N103/N98</f>
        <v>166.28402777777777</v>
      </c>
      <c r="O101" s="13">
        <f>O103/O98</f>
        <v>108.09846920289856</v>
      </c>
      <c r="P101" s="13">
        <f>+P103/P98</f>
        <v>215.93952768729642</v>
      </c>
      <c r="Q101" s="13">
        <f>Q103/Q98</f>
        <v>259.1830769230769</v>
      </c>
      <c r="R101" s="13">
        <f>+R103/R98</f>
        <v>202.27219866747427</v>
      </c>
      <c r="S101" s="13"/>
      <c r="T101" s="13">
        <f t="shared" si="38"/>
        <v>242.9590443293034</v>
      </c>
      <c r="U101" s="13"/>
      <c r="V101" s="13"/>
      <c r="W101" s="13"/>
      <c r="X101" s="13"/>
      <c r="Y101" s="13"/>
      <c r="Z101" s="13"/>
      <c r="AA101" s="13"/>
      <c r="AB101" s="13"/>
      <c r="AC101" s="13"/>
      <c r="AD101" s="90"/>
      <c r="AE101" s="13"/>
      <c r="AF101" s="99"/>
    </row>
    <row r="102" spans="2:32" ht="15" customHeight="1" x14ac:dyDescent="0.35">
      <c r="B102" s="98"/>
      <c r="C102" s="186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9"/>
    </row>
    <row r="103" spans="2:32" ht="15" customHeight="1" x14ac:dyDescent="0.35">
      <c r="B103" s="98"/>
      <c r="C103" s="186"/>
      <c r="D103" s="90"/>
      <c r="E103" s="101" t="s">
        <v>48</v>
      </c>
      <c r="F103" s="27"/>
      <c r="G103" s="27"/>
      <c r="H103" s="27"/>
      <c r="I103" s="27">
        <f>SUM('2020 - Checks'!D3,'2020 - Checks'!D37)</f>
        <v>3120.35</v>
      </c>
      <c r="J103" s="27">
        <f>SUM('2020 - Checks'!D15,'2020 - Checks'!D19,'2020 - Checks'!D22)</f>
        <v>31668.17</v>
      </c>
      <c r="K103" s="27">
        <f>SUM('2020 - Checks'!D4,'2020 - Checks'!D10,'2020 - Checks'!D30,'2020 - Checks'!D34)</f>
        <v>60671.63</v>
      </c>
      <c r="L103" s="27">
        <v>107013.88</v>
      </c>
      <c r="M103" s="27">
        <v>32069.71</v>
      </c>
      <c r="N103" s="27">
        <v>59862.25</v>
      </c>
      <c r="O103" s="27">
        <v>119340.71</v>
      </c>
      <c r="P103" s="27">
        <f>SUM('2020 - Checks'!D26:D27,'2020 - Checks'!D44,'2020 - Checks'!D48)</f>
        <v>132586.87</v>
      </c>
      <c r="Q103" s="27">
        <f>SUM('2020 - Checks'!D5,'2020 - Checks'!D8,'2020 - Checks'!D13,'2020 - Checks'!D33)</f>
        <v>161730.23999999999</v>
      </c>
      <c r="R103" s="27">
        <f>'2020 - Checks'!D24+'2020 - Checks'!D45</f>
        <v>83487.850000000006</v>
      </c>
      <c r="S103" s="27"/>
      <c r="T103" s="27">
        <f>SUM('2020 - Checks'!D9,'2020 - Checks'!D16,'2020 - Checks'!D32)</f>
        <v>211009.93</v>
      </c>
      <c r="U103" s="27"/>
      <c r="V103" s="27"/>
      <c r="W103" s="27"/>
      <c r="X103" s="27"/>
      <c r="Y103" s="27"/>
      <c r="Z103" s="27"/>
      <c r="AA103" s="27"/>
      <c r="AB103" s="27">
        <f>SUM(F103:T103)</f>
        <v>1002561.5900000001</v>
      </c>
      <c r="AC103" s="27"/>
      <c r="AD103" s="33">
        <v>0</v>
      </c>
      <c r="AE103" s="27">
        <f>SUM(AB103:AD103)</f>
        <v>1002561.5900000001</v>
      </c>
      <c r="AF103" s="99"/>
    </row>
    <row r="104" spans="2:32" ht="6" customHeight="1" thickBot="1" x14ac:dyDescent="0.4">
      <c r="B104" s="102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4"/>
    </row>
    <row r="105" spans="2:32" ht="6" customHeight="1" thickBot="1" x14ac:dyDescent="0.4"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</row>
    <row r="106" spans="2:32" ht="6" customHeight="1" x14ac:dyDescent="0.35">
      <c r="B106" s="93"/>
      <c r="C106" s="94"/>
      <c r="D106" s="94"/>
      <c r="E106" s="94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97"/>
    </row>
    <row r="107" spans="2:32" ht="15" customHeight="1" x14ac:dyDescent="0.35">
      <c r="B107" s="98"/>
      <c r="C107" s="186">
        <v>2021</v>
      </c>
      <c r="D107" s="90"/>
      <c r="E107" s="35" t="s">
        <v>41</v>
      </c>
      <c r="F107" s="105"/>
      <c r="G107" s="105"/>
      <c r="H107" s="105"/>
      <c r="I107" s="105">
        <f t="shared" ref="I107:T107" si="39">+I109*16</f>
        <v>796</v>
      </c>
      <c r="J107" s="105">
        <f t="shared" si="39"/>
        <v>3392</v>
      </c>
      <c r="K107" s="105">
        <f t="shared" si="39"/>
        <v>4736</v>
      </c>
      <c r="L107" s="105">
        <f t="shared" si="39"/>
        <v>11488</v>
      </c>
      <c r="M107" s="105">
        <f t="shared" si="39"/>
        <v>2752</v>
      </c>
      <c r="N107" s="105">
        <f t="shared" si="39"/>
        <v>4944</v>
      </c>
      <c r="O107" s="105">
        <f t="shared" si="39"/>
        <v>16952</v>
      </c>
      <c r="P107" s="105">
        <f t="shared" si="39"/>
        <v>11200</v>
      </c>
      <c r="Q107" s="105">
        <f t="shared" si="39"/>
        <v>9792</v>
      </c>
      <c r="R107" s="105">
        <f t="shared" si="39"/>
        <v>8704</v>
      </c>
      <c r="S107" s="105">
        <f t="shared" ref="S107" si="40">+S109*16</f>
        <v>624</v>
      </c>
      <c r="T107" s="105">
        <f t="shared" si="39"/>
        <v>15264</v>
      </c>
      <c r="U107" s="105"/>
      <c r="V107" s="105"/>
      <c r="W107" s="105"/>
      <c r="X107" s="105"/>
      <c r="Y107" s="105"/>
      <c r="Z107" s="105"/>
      <c r="AA107" s="105"/>
      <c r="AB107" s="26">
        <f>SUM(F107:T107)</f>
        <v>90644</v>
      </c>
      <c r="AC107" s="105"/>
      <c r="AD107" s="105"/>
      <c r="AE107" s="105"/>
      <c r="AF107" s="99"/>
    </row>
    <row r="108" spans="2:32" ht="15" customHeight="1" x14ac:dyDescent="0.35">
      <c r="B108" s="98"/>
      <c r="C108" s="186"/>
      <c r="D108" s="90"/>
      <c r="E108" s="35" t="s">
        <v>42</v>
      </c>
      <c r="F108" s="26"/>
      <c r="G108" s="26"/>
      <c r="H108" s="26"/>
      <c r="I108" s="26">
        <f t="shared" ref="I108:T108" si="41">+I107/I5</f>
        <v>79.599999999999994</v>
      </c>
      <c r="J108" s="26">
        <f t="shared" si="41"/>
        <v>339.2</v>
      </c>
      <c r="K108" s="26">
        <f t="shared" si="41"/>
        <v>236.8</v>
      </c>
      <c r="L108" s="26">
        <f t="shared" si="41"/>
        <v>574.4</v>
      </c>
      <c r="M108" s="26">
        <f t="shared" si="41"/>
        <v>550.4</v>
      </c>
      <c r="N108" s="26">
        <f t="shared" si="41"/>
        <v>618</v>
      </c>
      <c r="O108" s="26">
        <f t="shared" si="41"/>
        <v>706.33333333333337</v>
      </c>
      <c r="P108" s="26">
        <f t="shared" si="41"/>
        <v>560</v>
      </c>
      <c r="Q108" s="26">
        <f t="shared" si="41"/>
        <v>489.6</v>
      </c>
      <c r="R108" s="26">
        <f t="shared" si="41"/>
        <v>435.2</v>
      </c>
      <c r="S108" s="26">
        <f t="shared" si="41"/>
        <v>35.657142857142858</v>
      </c>
      <c r="T108" s="26">
        <f t="shared" si="41"/>
        <v>848</v>
      </c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99"/>
    </row>
    <row r="109" spans="2:32" ht="15" customHeight="1" x14ac:dyDescent="0.35">
      <c r="B109" s="98"/>
      <c r="C109" s="186"/>
      <c r="D109" s="90"/>
      <c r="E109" s="35" t="s">
        <v>43</v>
      </c>
      <c r="F109" s="31"/>
      <c r="G109" s="31"/>
      <c r="H109" s="31"/>
      <c r="I109" s="31">
        <v>49.75</v>
      </c>
      <c r="J109" s="31">
        <v>212</v>
      </c>
      <c r="K109" s="31">
        <f>192+104</f>
        <v>296</v>
      </c>
      <c r="L109" s="31">
        <v>718</v>
      </c>
      <c r="M109" s="31">
        <v>172</v>
      </c>
      <c r="N109" s="31">
        <v>309</v>
      </c>
      <c r="O109" s="31">
        <v>1059.5</v>
      </c>
      <c r="P109" s="31">
        <v>700</v>
      </c>
      <c r="Q109" s="31">
        <v>612</v>
      </c>
      <c r="R109" s="31">
        <v>544</v>
      </c>
      <c r="S109" s="31">
        <v>39</v>
      </c>
      <c r="T109" s="31">
        <v>954</v>
      </c>
      <c r="U109" s="31"/>
      <c r="V109" s="31"/>
      <c r="W109" s="31"/>
      <c r="X109" s="31"/>
      <c r="Y109" s="31"/>
      <c r="Z109" s="31"/>
      <c r="AA109" s="31"/>
      <c r="AB109" s="26">
        <f>SUM(F109:T109)</f>
        <v>5665.25</v>
      </c>
      <c r="AC109" s="26"/>
      <c r="AD109" s="26"/>
      <c r="AE109" s="26"/>
      <c r="AF109" s="99"/>
    </row>
    <row r="110" spans="2:32" ht="15" customHeight="1" x14ac:dyDescent="0.35">
      <c r="B110" s="98"/>
      <c r="C110" s="186"/>
      <c r="D110" s="90"/>
      <c r="E110" s="35" t="s">
        <v>44</v>
      </c>
      <c r="F110" s="26"/>
      <c r="G110" s="26"/>
      <c r="H110" s="26"/>
      <c r="I110" s="26">
        <f t="shared" ref="I110:T110" si="42">+I109/I5</f>
        <v>4.9749999999999996</v>
      </c>
      <c r="J110" s="26">
        <f t="shared" si="42"/>
        <v>21.2</v>
      </c>
      <c r="K110" s="26">
        <f t="shared" si="42"/>
        <v>14.8</v>
      </c>
      <c r="L110" s="26">
        <f t="shared" si="42"/>
        <v>35.9</v>
      </c>
      <c r="M110" s="26">
        <f t="shared" si="42"/>
        <v>34.4</v>
      </c>
      <c r="N110" s="26">
        <f t="shared" si="42"/>
        <v>38.625</v>
      </c>
      <c r="O110" s="26">
        <f t="shared" si="42"/>
        <v>44.145833333333336</v>
      </c>
      <c r="P110" s="26">
        <f t="shared" si="42"/>
        <v>35</v>
      </c>
      <c r="Q110" s="26">
        <f t="shared" si="42"/>
        <v>30.6</v>
      </c>
      <c r="R110" s="26">
        <f t="shared" si="42"/>
        <v>27.2</v>
      </c>
      <c r="S110" s="26">
        <f t="shared" si="42"/>
        <v>2.2285714285714286</v>
      </c>
      <c r="T110" s="26">
        <f t="shared" si="42"/>
        <v>53</v>
      </c>
      <c r="U110" s="26"/>
      <c r="V110" s="26"/>
      <c r="W110" s="26"/>
      <c r="X110" s="26"/>
      <c r="Y110" s="26"/>
      <c r="Z110" s="26"/>
      <c r="AA110" s="26"/>
      <c r="AB110" s="26"/>
      <c r="AC110" s="26"/>
      <c r="AD110" s="90"/>
      <c r="AE110" s="26"/>
      <c r="AF110" s="99"/>
    </row>
    <row r="111" spans="2:32" ht="15" customHeight="1" x14ac:dyDescent="0.35">
      <c r="B111" s="98"/>
      <c r="C111" s="186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26"/>
      <c r="AC111" s="90"/>
      <c r="AD111" s="90"/>
      <c r="AE111" s="90"/>
      <c r="AF111" s="99"/>
    </row>
    <row r="112" spans="2:32" ht="15" customHeight="1" x14ac:dyDescent="0.35">
      <c r="B112" s="98"/>
      <c r="C112" s="186"/>
      <c r="D112" s="90"/>
      <c r="E112" s="100" t="s">
        <v>45</v>
      </c>
      <c r="F112" s="13"/>
      <c r="G112" s="34"/>
      <c r="H112" s="34"/>
      <c r="I112" s="5">
        <f>+I114/I109</f>
        <v>195.35839195979901</v>
      </c>
      <c r="J112" s="5">
        <f>J114/J109</f>
        <v>247.08627358490565</v>
      </c>
      <c r="K112" s="5">
        <f>K114/K109</f>
        <v>34.401047297297296</v>
      </c>
      <c r="L112" s="5">
        <f t="shared" ref="L112:T112" si="43">+L114/L109</f>
        <v>141.66110027855152</v>
      </c>
      <c r="M112" s="5">
        <f t="shared" si="43"/>
        <v>133.69988372093025</v>
      </c>
      <c r="N112" s="5">
        <f t="shared" si="43"/>
        <v>128.35394822006472</v>
      </c>
      <c r="O112" s="5">
        <f t="shared" si="43"/>
        <v>93.134450212364314</v>
      </c>
      <c r="P112" s="5">
        <f t="shared" si="43"/>
        <v>131.62007142857144</v>
      </c>
      <c r="Q112" s="5">
        <f t="shared" si="43"/>
        <v>159.1103267973856</v>
      </c>
      <c r="R112" s="5">
        <f t="shared" si="43"/>
        <v>224.26897058823528</v>
      </c>
      <c r="S112" s="5">
        <f t="shared" si="43"/>
        <v>195.22153846153847</v>
      </c>
      <c r="T112" s="5">
        <f t="shared" si="43"/>
        <v>270.2451362683438</v>
      </c>
      <c r="U112" s="5"/>
      <c r="V112" s="5"/>
      <c r="W112" s="5"/>
      <c r="X112" s="5"/>
      <c r="Y112" s="5"/>
      <c r="Z112" s="5"/>
      <c r="AA112" s="5"/>
      <c r="AB112" s="13"/>
      <c r="AC112" s="13"/>
      <c r="AD112" s="90"/>
      <c r="AE112" s="13"/>
      <c r="AF112" s="99"/>
    </row>
    <row r="113" spans="2:32" ht="15" customHeight="1" x14ac:dyDescent="0.35">
      <c r="B113" s="98"/>
      <c r="C113" s="186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9"/>
    </row>
    <row r="114" spans="2:32" ht="15" customHeight="1" x14ac:dyDescent="0.35">
      <c r="B114" s="98"/>
      <c r="C114" s="186"/>
      <c r="D114" s="90"/>
      <c r="E114" s="101" t="s">
        <v>48</v>
      </c>
      <c r="F114" s="27"/>
      <c r="G114" s="27"/>
      <c r="H114" s="27"/>
      <c r="I114" s="27">
        <f>SUM('2021 - Checks'!D14,'2021 - Checks'!D44)</f>
        <v>9719.08</v>
      </c>
      <c r="J114" s="27">
        <f>SUM('2021 - Checks'!D4,'2021 - Checks'!D8,'2021 - Checks'!D21)</f>
        <v>52382.29</v>
      </c>
      <c r="K114" s="27">
        <f>SUM('2021 - Checks'!D23,'2021 - Checks'!D37)</f>
        <v>10182.709999999999</v>
      </c>
      <c r="L114" s="27">
        <f>SUM('2021 - Checks'!D31,'2021 - Checks'!D50)</f>
        <v>101712.67</v>
      </c>
      <c r="M114" s="27">
        <f>SUM('2021 - Checks'!D32,'2021 - Checks'!D51)</f>
        <v>22996.38</v>
      </c>
      <c r="N114" s="27">
        <f>SUM('2021 - Checks'!D33,'2021 - Checks'!D52)</f>
        <v>39661.369999999995</v>
      </c>
      <c r="O114" s="27">
        <f>SUM('2021 - Checks'!D34,'2021 - Checks'!D53)</f>
        <v>98675.95</v>
      </c>
      <c r="P114" s="27">
        <f>SUM('2021 - Checks'!D28,'2021 - Checks'!D47)</f>
        <v>92134.05</v>
      </c>
      <c r="Q114" s="27">
        <f>SUM('2021 - Checks'!D11,'2021 - Checks'!D16,'2021 - Checks'!D19,'2021 - Checks'!D25,'2021 - Checks'!D40)</f>
        <v>97375.51999999999</v>
      </c>
      <c r="R114" s="27">
        <f>SUM('2021 - Checks'!D27,'2021 - Checks'!D46)</f>
        <v>122002.31999999999</v>
      </c>
      <c r="S114" s="27">
        <f>SUM('2021 - Checks'!D43,'2021 - Checks'!D13)</f>
        <v>7613.64</v>
      </c>
      <c r="T114" s="27">
        <f>SUM('2021 - Checks'!D3,'2021 - Checks'!D7,'2021 - Checks'!D15,'2021 - Checks'!D39)</f>
        <v>257813.86</v>
      </c>
      <c r="U114" s="27"/>
      <c r="V114" s="27"/>
      <c r="W114" s="27"/>
      <c r="X114" s="27"/>
      <c r="Y114" s="27"/>
      <c r="Z114" s="27"/>
      <c r="AA114" s="27"/>
      <c r="AB114" s="27">
        <f>SUM(F114:T114)</f>
        <v>912269.84</v>
      </c>
      <c r="AC114" s="27"/>
      <c r="AD114" s="33">
        <v>0</v>
      </c>
      <c r="AE114" s="27">
        <f>SUM(AB114:AD114)</f>
        <v>912269.84</v>
      </c>
      <c r="AF114" s="99"/>
    </row>
    <row r="115" spans="2:32" ht="15" customHeight="1" x14ac:dyDescent="0.35">
      <c r="B115" s="98"/>
      <c r="C115" s="113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26"/>
      <c r="AC115" s="90"/>
      <c r="AD115" s="90"/>
      <c r="AE115" s="90"/>
      <c r="AF115" s="99"/>
    </row>
    <row r="116" spans="2:32" ht="15" customHeight="1" x14ac:dyDescent="0.35">
      <c r="B116" s="98"/>
      <c r="C116" s="113"/>
      <c r="D116" s="90"/>
      <c r="E116" s="41" t="s">
        <v>52</v>
      </c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42"/>
      <c r="AC116" s="90"/>
      <c r="AD116" s="90"/>
      <c r="AE116" s="90"/>
      <c r="AF116" s="99"/>
    </row>
    <row r="117" spans="2:32" ht="15" customHeight="1" x14ac:dyDescent="0.35">
      <c r="B117" s="98"/>
      <c r="C117" s="113"/>
      <c r="D117" s="90"/>
      <c r="E117" s="43" t="s">
        <v>53</v>
      </c>
      <c r="F117" s="108"/>
      <c r="G117" s="108"/>
      <c r="H117" s="108"/>
      <c r="I117" s="45">
        <f>I114-(I109/SUM($I$109:$J$109,$P$109:$T$109))*23786</f>
        <v>9338.6722205255974</v>
      </c>
      <c r="J117" s="45">
        <f>J114-(J109/SUM($I$109:$J$109,$P$109:$T$109))*23786</f>
        <v>50761.255844249783</v>
      </c>
      <c r="K117" s="109">
        <f>+K114</f>
        <v>10182.709999999999</v>
      </c>
      <c r="L117" s="109">
        <f>+L114</f>
        <v>101712.67</v>
      </c>
      <c r="M117" s="109">
        <f>+M114</f>
        <v>22996.38</v>
      </c>
      <c r="N117" s="109">
        <f>+N114</f>
        <v>39661.369999999995</v>
      </c>
      <c r="O117" s="109">
        <f>+O114</f>
        <v>98675.95</v>
      </c>
      <c r="P117" s="45">
        <f>P114-(P109/SUM($I$109:$J$109,$P$109:$T$109))*23786</f>
        <v>86781.578731013418</v>
      </c>
      <c r="Q117" s="45">
        <f>Q114-(Q109/SUM($I$109:$J$109,$P$109:$T$109))*23786</f>
        <v>92695.9308334003</v>
      </c>
      <c r="R117" s="45">
        <f>R114-(R109/SUM($I$109:$J$109,$P$109:$T$109))*23786</f>
        <v>117842.68518524471</v>
      </c>
      <c r="S117" s="45">
        <f>S114-(S109/SUM($I$109:$J$109,$P$109:$T$109))*23786</f>
        <v>7315.4308864421764</v>
      </c>
      <c r="T117" s="45">
        <f>T114-(T109/SUM($I$109:$J$109,$P$109:$T$109))*23786</f>
        <v>250519.20629912399</v>
      </c>
      <c r="U117" s="45"/>
      <c r="V117" s="45"/>
      <c r="W117" s="45"/>
      <c r="X117" s="45"/>
      <c r="Y117" s="45"/>
      <c r="Z117" s="45"/>
      <c r="AA117" s="45"/>
      <c r="AB117" s="42">
        <f>SUM(I117:T117)</f>
        <v>888483.83999999985</v>
      </c>
      <c r="AC117" s="107"/>
      <c r="AD117" s="90"/>
      <c r="AE117" s="90"/>
      <c r="AF117" s="99"/>
    </row>
    <row r="118" spans="2:32" ht="15" customHeight="1" x14ac:dyDescent="0.35">
      <c r="B118" s="98"/>
      <c r="C118" s="113"/>
      <c r="D118" s="90"/>
      <c r="E118" s="43" t="s">
        <v>54</v>
      </c>
      <c r="F118" s="108"/>
      <c r="G118" s="108"/>
      <c r="H118" s="108"/>
      <c r="I118" s="46">
        <f>+I117/I109</f>
        <v>187.71200443267531</v>
      </c>
      <c r="J118" s="46">
        <f>+J117/J109</f>
        <v>239.43988605778199</v>
      </c>
      <c r="K118" s="44">
        <f t="shared" ref="K118:T118" si="44">+K117/K109</f>
        <v>34.401047297297296</v>
      </c>
      <c r="L118" s="44">
        <f t="shared" si="44"/>
        <v>141.66110027855152</v>
      </c>
      <c r="M118" s="44">
        <f t="shared" si="44"/>
        <v>133.69988372093025</v>
      </c>
      <c r="N118" s="44">
        <f t="shared" si="44"/>
        <v>128.35394822006472</v>
      </c>
      <c r="O118" s="44">
        <f t="shared" si="44"/>
        <v>93.134450212364314</v>
      </c>
      <c r="P118" s="46">
        <f t="shared" si="44"/>
        <v>123.97368390144774</v>
      </c>
      <c r="Q118" s="46">
        <f t="shared" si="44"/>
        <v>151.46393927026193</v>
      </c>
      <c r="R118" s="46">
        <f t="shared" si="44"/>
        <v>216.62258306111161</v>
      </c>
      <c r="S118" s="46">
        <f t="shared" si="44"/>
        <v>187.57515093441478</v>
      </c>
      <c r="T118" s="46">
        <f t="shared" si="44"/>
        <v>262.59874874122011</v>
      </c>
      <c r="U118" s="46"/>
      <c r="V118" s="46"/>
      <c r="W118" s="46"/>
      <c r="X118" s="46"/>
      <c r="Y118" s="46"/>
      <c r="Z118" s="46"/>
      <c r="AA118" s="46"/>
      <c r="AB118" s="42"/>
      <c r="AC118" s="106"/>
      <c r="AD118" s="106"/>
      <c r="AE118" s="90"/>
      <c r="AF118" s="99"/>
    </row>
    <row r="119" spans="2:32" ht="6" customHeight="1" thickBot="1" x14ac:dyDescent="0.4">
      <c r="B119" s="102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4"/>
    </row>
    <row r="120" spans="2:32" ht="6" customHeight="1" thickBot="1" x14ac:dyDescent="0.4"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</row>
    <row r="121" spans="2:32" ht="6" customHeight="1" x14ac:dyDescent="0.35">
      <c r="B121" s="93"/>
      <c r="C121" s="94"/>
      <c r="D121" s="94"/>
      <c r="E121" s="94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97"/>
    </row>
    <row r="122" spans="2:32" ht="15" customHeight="1" x14ac:dyDescent="0.35">
      <c r="B122" s="98"/>
      <c r="C122" s="186">
        <v>2022</v>
      </c>
      <c r="D122" s="90"/>
      <c r="E122" s="35" t="s">
        <v>41</v>
      </c>
      <c r="F122" s="105"/>
      <c r="G122" s="105"/>
      <c r="H122" s="105">
        <f t="shared" ref="H122" si="45">+H124*16</f>
        <v>1216</v>
      </c>
      <c r="I122" s="105">
        <f t="shared" ref="I122:T122" si="46">+I124*16</f>
        <v>1568</v>
      </c>
      <c r="J122" s="105">
        <f t="shared" si="46"/>
        <v>2160</v>
      </c>
      <c r="K122" s="105">
        <f t="shared" si="46"/>
        <v>6032</v>
      </c>
      <c r="L122" s="105">
        <f t="shared" si="46"/>
        <v>5336.347826086957</v>
      </c>
      <c r="M122" s="105">
        <f t="shared" si="46"/>
        <v>2096</v>
      </c>
      <c r="N122" s="105">
        <f t="shared" si="46"/>
        <v>3304</v>
      </c>
      <c r="O122" s="105">
        <f t="shared" si="46"/>
        <v>13056</v>
      </c>
      <c r="P122" s="105">
        <f t="shared" si="46"/>
        <v>7808</v>
      </c>
      <c r="Q122" s="105">
        <f t="shared" si="46"/>
        <v>7504</v>
      </c>
      <c r="R122" s="105">
        <f t="shared" si="46"/>
        <v>4928</v>
      </c>
      <c r="S122" s="105">
        <f t="shared" si="46"/>
        <v>2144</v>
      </c>
      <c r="T122" s="105">
        <f t="shared" si="46"/>
        <v>13768</v>
      </c>
      <c r="U122" s="105">
        <f t="shared" ref="U122" si="47">+U124*16</f>
        <v>352</v>
      </c>
      <c r="V122" s="105"/>
      <c r="W122" s="105"/>
      <c r="X122" s="105"/>
      <c r="Y122" s="105"/>
      <c r="Z122" s="105"/>
      <c r="AA122" s="105"/>
      <c r="AB122" s="26">
        <f>SUM(F122:U122)</f>
        <v>71272.34782608696</v>
      </c>
      <c r="AC122" s="105"/>
      <c r="AD122" s="105"/>
      <c r="AE122" s="105"/>
      <c r="AF122" s="99"/>
    </row>
    <row r="123" spans="2:32" ht="15" customHeight="1" x14ac:dyDescent="0.35">
      <c r="B123" s="98"/>
      <c r="C123" s="186"/>
      <c r="D123" s="90"/>
      <c r="E123" s="35" t="s">
        <v>42</v>
      </c>
      <c r="F123" s="26"/>
      <c r="G123" s="26"/>
      <c r="H123" s="26">
        <f t="shared" ref="H123:U123" si="48">+H122/H5</f>
        <v>60.8</v>
      </c>
      <c r="I123" s="26">
        <f t="shared" si="48"/>
        <v>156.80000000000001</v>
      </c>
      <c r="J123" s="26">
        <f t="shared" si="48"/>
        <v>216</v>
      </c>
      <c r="K123" s="26">
        <f t="shared" si="48"/>
        <v>301.60000000000002</v>
      </c>
      <c r="L123" s="26">
        <f t="shared" si="48"/>
        <v>266.81739130434784</v>
      </c>
      <c r="M123" s="26">
        <f t="shared" si="48"/>
        <v>419.2</v>
      </c>
      <c r="N123" s="26">
        <f t="shared" si="48"/>
        <v>413</v>
      </c>
      <c r="O123" s="26">
        <f t="shared" si="48"/>
        <v>544</v>
      </c>
      <c r="P123" s="26">
        <f t="shared" si="48"/>
        <v>390.4</v>
      </c>
      <c r="Q123" s="26">
        <f t="shared" si="48"/>
        <v>375.2</v>
      </c>
      <c r="R123" s="26">
        <f t="shared" si="48"/>
        <v>246.4</v>
      </c>
      <c r="S123" s="26">
        <f t="shared" si="48"/>
        <v>122.51428571428572</v>
      </c>
      <c r="T123" s="26">
        <f t="shared" si="48"/>
        <v>764.88888888888891</v>
      </c>
      <c r="U123" s="26">
        <f t="shared" si="48"/>
        <v>64</v>
      </c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99"/>
    </row>
    <row r="124" spans="2:32" ht="15" customHeight="1" x14ac:dyDescent="0.35">
      <c r="B124" s="98"/>
      <c r="C124" s="186"/>
      <c r="D124" s="90"/>
      <c r="E124" s="35" t="s">
        <v>43</v>
      </c>
      <c r="F124" s="31"/>
      <c r="G124" s="31"/>
      <c r="H124" s="31">
        <v>76</v>
      </c>
      <c r="I124" s="31">
        <v>98</v>
      </c>
      <c r="J124" s="31">
        <v>135</v>
      </c>
      <c r="K124" s="31">
        <v>377</v>
      </c>
      <c r="L124" s="31">
        <f>7671/23</f>
        <v>333.52173913043481</v>
      </c>
      <c r="M124" s="31">
        <v>131</v>
      </c>
      <c r="N124" s="31">
        <v>206.5</v>
      </c>
      <c r="O124" s="31">
        <v>816</v>
      </c>
      <c r="P124" s="31">
        <v>488</v>
      </c>
      <c r="Q124" s="31">
        <v>469</v>
      </c>
      <c r="R124" s="31">
        <v>308</v>
      </c>
      <c r="S124" s="31">
        <v>134</v>
      </c>
      <c r="T124" s="31">
        <v>860.5</v>
      </c>
      <c r="U124" s="31">
        <v>22</v>
      </c>
      <c r="V124" s="31"/>
      <c r="W124" s="31"/>
      <c r="X124" s="31"/>
      <c r="Y124" s="31"/>
      <c r="Z124" s="31"/>
      <c r="AA124" s="31"/>
      <c r="AB124" s="26">
        <f t="shared" ref="AB124" si="49">SUM(F124:U124)</f>
        <v>4454.521739130435</v>
      </c>
      <c r="AC124" s="26"/>
      <c r="AD124" s="26"/>
      <c r="AE124" s="26"/>
      <c r="AF124" s="99"/>
    </row>
    <row r="125" spans="2:32" ht="15" customHeight="1" x14ac:dyDescent="0.35">
      <c r="B125" s="98"/>
      <c r="C125" s="186"/>
      <c r="D125" s="90"/>
      <c r="E125" s="35" t="s">
        <v>44</v>
      </c>
      <c r="F125" s="26"/>
      <c r="G125" s="26"/>
      <c r="H125" s="26">
        <f t="shared" ref="H125:U125" si="50">+H124/H5</f>
        <v>3.8</v>
      </c>
      <c r="I125" s="26">
        <f t="shared" si="50"/>
        <v>9.8000000000000007</v>
      </c>
      <c r="J125" s="26">
        <f t="shared" si="50"/>
        <v>13.5</v>
      </c>
      <c r="K125" s="26">
        <f t="shared" si="50"/>
        <v>18.850000000000001</v>
      </c>
      <c r="L125" s="26">
        <f t="shared" si="50"/>
        <v>16.67608695652174</v>
      </c>
      <c r="M125" s="26">
        <f t="shared" si="50"/>
        <v>26.2</v>
      </c>
      <c r="N125" s="26">
        <f t="shared" si="50"/>
        <v>25.8125</v>
      </c>
      <c r="O125" s="26">
        <f t="shared" si="50"/>
        <v>34</v>
      </c>
      <c r="P125" s="26">
        <f t="shared" si="50"/>
        <v>24.4</v>
      </c>
      <c r="Q125" s="26">
        <f t="shared" si="50"/>
        <v>23.45</v>
      </c>
      <c r="R125" s="26">
        <f t="shared" si="50"/>
        <v>15.4</v>
      </c>
      <c r="S125" s="26">
        <f t="shared" si="50"/>
        <v>7.6571428571428575</v>
      </c>
      <c r="T125" s="26">
        <f t="shared" si="50"/>
        <v>47.805555555555557</v>
      </c>
      <c r="U125" s="26">
        <f t="shared" si="50"/>
        <v>4</v>
      </c>
      <c r="V125" s="26"/>
      <c r="W125" s="26"/>
      <c r="X125" s="26"/>
      <c r="Y125" s="26"/>
      <c r="Z125" s="26"/>
      <c r="AA125" s="26"/>
      <c r="AB125" s="26"/>
      <c r="AC125" s="26"/>
      <c r="AD125" s="90"/>
      <c r="AE125" s="26"/>
      <c r="AF125" s="99"/>
    </row>
    <row r="126" spans="2:32" ht="15" customHeight="1" x14ac:dyDescent="0.35">
      <c r="B126" s="98"/>
      <c r="C126" s="186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26"/>
      <c r="AC126" s="90"/>
      <c r="AD126" s="90"/>
      <c r="AE126" s="90"/>
      <c r="AF126" s="99"/>
    </row>
    <row r="127" spans="2:32" ht="15" customHeight="1" x14ac:dyDescent="0.35">
      <c r="B127" s="98"/>
      <c r="C127" s="186"/>
      <c r="D127" s="90"/>
      <c r="E127" s="100" t="s">
        <v>45</v>
      </c>
      <c r="F127" s="13"/>
      <c r="G127" s="34"/>
      <c r="H127" s="5">
        <f>+H129/H124</f>
        <v>331.73881578947368</v>
      </c>
      <c r="I127" s="5">
        <f>+I129/I124</f>
        <v>404.74000000000007</v>
      </c>
      <c r="J127" s="5">
        <f>+J129/J124</f>
        <v>273.8685185185185</v>
      </c>
      <c r="K127" s="13">
        <f>+K129/K124</f>
        <v>166.97827586206895</v>
      </c>
      <c r="L127" s="13">
        <f t="shared" ref="L127:O127" si="51">+L129/L124</f>
        <v>205.62908486507627</v>
      </c>
      <c r="M127" s="13">
        <f t="shared" si="51"/>
        <v>197.72091603053434</v>
      </c>
      <c r="N127" s="13">
        <f t="shared" si="51"/>
        <v>201.78590799031477</v>
      </c>
      <c r="O127" s="13">
        <f t="shared" si="51"/>
        <v>175.83398284313725</v>
      </c>
      <c r="P127" s="5">
        <f>P129/P124</f>
        <v>332.60831967213113</v>
      </c>
      <c r="Q127" s="5">
        <f>+Q129/Q124</f>
        <v>235.76609808102347</v>
      </c>
      <c r="R127" s="5">
        <f>R129/R124</f>
        <v>286.73308441558441</v>
      </c>
      <c r="S127" s="5">
        <f>S129/S124</f>
        <v>402.82052238805966</v>
      </c>
      <c r="T127" s="5">
        <f>T129/T124</f>
        <v>185.30510168506683</v>
      </c>
      <c r="U127" s="5">
        <f>U129/U124</f>
        <v>148.56590909090909</v>
      </c>
      <c r="V127" s="5"/>
      <c r="W127" s="5"/>
      <c r="X127" s="5"/>
      <c r="Y127" s="5"/>
      <c r="Z127" s="5"/>
      <c r="AA127" s="5"/>
      <c r="AB127" s="13"/>
      <c r="AC127" s="13"/>
      <c r="AD127" s="90"/>
      <c r="AE127" s="13"/>
      <c r="AF127" s="99"/>
    </row>
    <row r="128" spans="2:32" ht="15" customHeight="1" x14ac:dyDescent="0.35">
      <c r="B128" s="98"/>
      <c r="C128" s="186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9"/>
    </row>
    <row r="129" spans="2:32" ht="15" customHeight="1" x14ac:dyDescent="0.35">
      <c r="B129" s="98"/>
      <c r="C129" s="186"/>
      <c r="D129" s="90"/>
      <c r="E129" s="101" t="s">
        <v>48</v>
      </c>
      <c r="F129" s="27"/>
      <c r="G129" s="27"/>
      <c r="H129" s="27">
        <f>SUM('2022 - Checks'!D3,'2022 - Checks'!D5,'2022 - Checks'!D22)</f>
        <v>25212.15</v>
      </c>
      <c r="I129" s="27">
        <f>'2022 - Checks'!F64</f>
        <v>39664.520000000004</v>
      </c>
      <c r="J129" s="27">
        <f>'2022 - Checks'!F65</f>
        <v>36972.25</v>
      </c>
      <c r="K129" s="27">
        <f>'2022 - Checks'!F66</f>
        <v>62950.81</v>
      </c>
      <c r="L129" s="27">
        <f>'2022 - Checks'!F67</f>
        <v>68581.77</v>
      </c>
      <c r="M129" s="27">
        <f>'2022 - Checks'!F68</f>
        <v>25901.439999999999</v>
      </c>
      <c r="N129" s="27">
        <f>'2022 - Checks'!F69</f>
        <v>41668.79</v>
      </c>
      <c r="O129" s="27">
        <f>'2022 - Checks'!F70</f>
        <v>143480.53</v>
      </c>
      <c r="P129" s="27">
        <f>'2022 - Checks'!F71</f>
        <v>162312.85999999999</v>
      </c>
      <c r="Q129" s="27">
        <f>'2022 - Checks'!F72</f>
        <v>110574.3</v>
      </c>
      <c r="R129" s="27">
        <f>'2022 - Checks'!F73</f>
        <v>88313.790000000008</v>
      </c>
      <c r="S129" s="27">
        <f>'2022 - Checks'!F74</f>
        <v>53977.95</v>
      </c>
      <c r="T129" s="27">
        <f>'2022 - Checks'!F75</f>
        <v>159455.04000000001</v>
      </c>
      <c r="U129" s="27">
        <f>'2022 - Checks'!F76</f>
        <v>3268.45</v>
      </c>
      <c r="V129" s="27"/>
      <c r="W129" s="27"/>
      <c r="X129" s="27"/>
      <c r="Y129" s="27"/>
      <c r="Z129" s="27"/>
      <c r="AA129" s="27"/>
      <c r="AB129" s="27">
        <f>SUM(F129:U129)</f>
        <v>1022334.65</v>
      </c>
      <c r="AC129" s="27"/>
      <c r="AD129" s="33">
        <v>0</v>
      </c>
      <c r="AE129" s="27">
        <f>SUM(AB129:AD129)</f>
        <v>1022334.65</v>
      </c>
      <c r="AF129" s="99"/>
    </row>
    <row r="130" spans="2:32" ht="6" customHeight="1" thickBot="1" x14ac:dyDescent="0.4">
      <c r="B130" s="102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4"/>
    </row>
    <row r="131" spans="2:32" ht="6" customHeight="1" thickBot="1" x14ac:dyDescent="0.4"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</row>
    <row r="132" spans="2:32" ht="6" customHeight="1" x14ac:dyDescent="0.35">
      <c r="B132" s="93"/>
      <c r="C132" s="94"/>
      <c r="D132" s="94"/>
      <c r="E132" s="94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97"/>
    </row>
    <row r="133" spans="2:32" ht="15" customHeight="1" x14ac:dyDescent="0.35">
      <c r="B133" s="98"/>
      <c r="C133" s="186">
        <v>2023</v>
      </c>
      <c r="D133" s="90"/>
      <c r="E133" s="35" t="s">
        <v>41</v>
      </c>
      <c r="F133" s="105"/>
      <c r="G133" s="105"/>
      <c r="H133" s="105">
        <f>+H135*16</f>
        <v>2736</v>
      </c>
      <c r="I133" s="105">
        <f t="shared" ref="I133:U133" si="52">+I135*16</f>
        <v>2932</v>
      </c>
      <c r="J133" s="105">
        <f t="shared" si="52"/>
        <v>3400</v>
      </c>
      <c r="K133" s="105">
        <f>+K135*16</f>
        <v>6384</v>
      </c>
      <c r="L133" s="105">
        <f t="shared" si="52"/>
        <v>11136</v>
      </c>
      <c r="M133" s="105">
        <f t="shared" si="52"/>
        <v>2576</v>
      </c>
      <c r="N133" s="105">
        <f t="shared" si="52"/>
        <v>4304</v>
      </c>
      <c r="O133" s="105">
        <f t="shared" si="52"/>
        <v>23136</v>
      </c>
      <c r="P133" s="105">
        <f t="shared" si="52"/>
        <v>9224</v>
      </c>
      <c r="Q133" s="105">
        <f t="shared" si="52"/>
        <v>10456</v>
      </c>
      <c r="R133" s="105">
        <f t="shared" si="52"/>
        <v>8624</v>
      </c>
      <c r="S133" s="105">
        <f t="shared" si="52"/>
        <v>4832</v>
      </c>
      <c r="T133" s="105">
        <f t="shared" si="52"/>
        <v>13664</v>
      </c>
      <c r="U133" s="105">
        <f t="shared" si="52"/>
        <v>688</v>
      </c>
      <c r="V133" s="105"/>
      <c r="W133" s="105"/>
      <c r="X133" s="105">
        <f t="shared" ref="X133" si="53">+X135*16</f>
        <v>288</v>
      </c>
      <c r="Y133" s="105"/>
      <c r="Z133" s="105"/>
      <c r="AA133" s="105"/>
      <c r="AB133" s="26">
        <f>SUM(F133:X133)</f>
        <v>104380</v>
      </c>
      <c r="AC133" s="105"/>
      <c r="AD133" s="105"/>
      <c r="AE133" s="105"/>
      <c r="AF133" s="99"/>
    </row>
    <row r="134" spans="2:32" ht="15" customHeight="1" x14ac:dyDescent="0.35">
      <c r="B134" s="98"/>
      <c r="C134" s="186"/>
      <c r="D134" s="90"/>
      <c r="E134" s="35" t="s">
        <v>42</v>
      </c>
      <c r="F134" s="26"/>
      <c r="G134" s="26"/>
      <c r="H134" s="26">
        <f t="shared" ref="H134:U134" si="54">+H133/H5</f>
        <v>136.80000000000001</v>
      </c>
      <c r="I134" s="26">
        <f t="shared" si="54"/>
        <v>293.2</v>
      </c>
      <c r="J134" s="26">
        <f t="shared" si="54"/>
        <v>340</v>
      </c>
      <c r="K134" s="26">
        <f t="shared" si="54"/>
        <v>319.2</v>
      </c>
      <c r="L134" s="26">
        <f t="shared" si="54"/>
        <v>556.79999999999995</v>
      </c>
      <c r="M134" s="26">
        <f t="shared" si="54"/>
        <v>515.20000000000005</v>
      </c>
      <c r="N134" s="26">
        <f t="shared" si="54"/>
        <v>538</v>
      </c>
      <c r="O134" s="26">
        <f t="shared" si="54"/>
        <v>964</v>
      </c>
      <c r="P134" s="26">
        <f t="shared" si="54"/>
        <v>461.2</v>
      </c>
      <c r="Q134" s="26">
        <f t="shared" si="54"/>
        <v>522.79999999999995</v>
      </c>
      <c r="R134" s="26">
        <f t="shared" si="54"/>
        <v>431.2</v>
      </c>
      <c r="S134" s="26">
        <f t="shared" si="54"/>
        <v>276.1142857142857</v>
      </c>
      <c r="T134" s="26">
        <f t="shared" si="54"/>
        <v>759.11111111111109</v>
      </c>
      <c r="U134" s="26">
        <f t="shared" si="54"/>
        <v>125.09090909090909</v>
      </c>
      <c r="V134" s="26"/>
      <c r="W134" s="26"/>
      <c r="X134" s="26">
        <f>+X133/X5</f>
        <v>14.4</v>
      </c>
      <c r="Y134" s="26"/>
      <c r="Z134" s="26"/>
      <c r="AA134" s="26"/>
      <c r="AB134" s="26"/>
      <c r="AC134" s="26"/>
      <c r="AD134" s="26"/>
      <c r="AE134" s="26"/>
      <c r="AF134" s="99"/>
    </row>
    <row r="135" spans="2:32" ht="15" customHeight="1" x14ac:dyDescent="0.35">
      <c r="B135" s="98"/>
      <c r="C135" s="186"/>
      <c r="D135" s="90"/>
      <c r="E135" s="35" t="s">
        <v>43</v>
      </c>
      <c r="F135" s="31"/>
      <c r="G135" s="31"/>
      <c r="H135" s="31">
        <f>2736/16</f>
        <v>171</v>
      </c>
      <c r="I135" s="31">
        <f>2932/16</f>
        <v>183.25</v>
      </c>
      <c r="J135" s="31">
        <f>3400/16</f>
        <v>212.5</v>
      </c>
      <c r="K135" s="31">
        <v>399</v>
      </c>
      <c r="L135" s="31">
        <v>696</v>
      </c>
      <c r="M135" s="31">
        <f>123+33+5</f>
        <v>161</v>
      </c>
      <c r="N135" s="31">
        <f>55+72+61+4+23+54</f>
        <v>269</v>
      </c>
      <c r="O135" s="31">
        <v>1446</v>
      </c>
      <c r="P135" s="31">
        <f>9224/16</f>
        <v>576.5</v>
      </c>
      <c r="Q135" s="31">
        <f>10456/16</f>
        <v>653.5</v>
      </c>
      <c r="R135" s="31">
        <f>8624/16</f>
        <v>539</v>
      </c>
      <c r="S135" s="31">
        <f>4832/16</f>
        <v>302</v>
      </c>
      <c r="T135" s="31">
        <f>13664/16</f>
        <v>854</v>
      </c>
      <c r="U135" s="31">
        <f>688/16</f>
        <v>43</v>
      </c>
      <c r="V135" s="31"/>
      <c r="W135" s="31"/>
      <c r="X135" s="31">
        <f>288/16</f>
        <v>18</v>
      </c>
      <c r="Y135" s="31"/>
      <c r="Z135" s="31"/>
      <c r="AA135" s="31"/>
      <c r="AB135" s="26">
        <f>SUM(F135:X135)</f>
        <v>6523.75</v>
      </c>
      <c r="AC135" s="26"/>
      <c r="AD135" s="26"/>
      <c r="AE135" s="26"/>
      <c r="AF135" s="99"/>
    </row>
    <row r="136" spans="2:32" ht="15" customHeight="1" x14ac:dyDescent="0.35">
      <c r="B136" s="98"/>
      <c r="C136" s="186"/>
      <c r="D136" s="90"/>
      <c r="E136" s="35" t="s">
        <v>44</v>
      </c>
      <c r="F136" s="26"/>
      <c r="G136" s="26"/>
      <c r="H136" s="26">
        <f t="shared" ref="H136:U136" si="55">+H135/H5</f>
        <v>8.5500000000000007</v>
      </c>
      <c r="I136" s="26">
        <f t="shared" si="55"/>
        <v>18.324999999999999</v>
      </c>
      <c r="J136" s="26">
        <f t="shared" si="55"/>
        <v>21.25</v>
      </c>
      <c r="K136" s="26">
        <f t="shared" si="55"/>
        <v>19.95</v>
      </c>
      <c r="L136" s="26">
        <f t="shared" si="55"/>
        <v>34.799999999999997</v>
      </c>
      <c r="M136" s="26">
        <f t="shared" si="55"/>
        <v>32.200000000000003</v>
      </c>
      <c r="N136" s="26">
        <f t="shared" si="55"/>
        <v>33.625</v>
      </c>
      <c r="O136" s="26">
        <f t="shared" si="55"/>
        <v>60.25</v>
      </c>
      <c r="P136" s="26">
        <f t="shared" si="55"/>
        <v>28.824999999999999</v>
      </c>
      <c r="Q136" s="26">
        <f t="shared" si="55"/>
        <v>32.674999999999997</v>
      </c>
      <c r="R136" s="26">
        <f t="shared" si="55"/>
        <v>26.95</v>
      </c>
      <c r="S136" s="26">
        <f t="shared" si="55"/>
        <v>17.257142857142856</v>
      </c>
      <c r="T136" s="26">
        <f t="shared" si="55"/>
        <v>47.444444444444443</v>
      </c>
      <c r="U136" s="26">
        <f t="shared" si="55"/>
        <v>7.8181818181818183</v>
      </c>
      <c r="V136" s="26"/>
      <c r="W136" s="26"/>
      <c r="X136" s="26">
        <f>+X135/X5</f>
        <v>0.9</v>
      </c>
      <c r="Y136" s="26"/>
      <c r="Z136" s="26"/>
      <c r="AA136" s="26"/>
      <c r="AB136" s="26"/>
      <c r="AC136" s="26"/>
      <c r="AD136" s="90"/>
      <c r="AE136" s="26"/>
      <c r="AF136" s="99"/>
    </row>
    <row r="137" spans="2:32" ht="15" customHeight="1" x14ac:dyDescent="0.35">
      <c r="B137" s="98"/>
      <c r="C137" s="186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26"/>
      <c r="AC137" s="90"/>
      <c r="AD137" s="90"/>
      <c r="AE137" s="90"/>
      <c r="AF137" s="99"/>
    </row>
    <row r="138" spans="2:32" ht="15" customHeight="1" x14ac:dyDescent="0.35">
      <c r="B138" s="98"/>
      <c r="C138" s="186"/>
      <c r="D138" s="90"/>
      <c r="E138" s="100" t="s">
        <v>45</v>
      </c>
      <c r="F138" s="13"/>
      <c r="G138" s="34"/>
      <c r="H138" s="5">
        <f>H140/H135</f>
        <v>276.27087719298248</v>
      </c>
      <c r="I138" s="13">
        <f>I140/I135</f>
        <v>261.98150068212823</v>
      </c>
      <c r="J138" s="5">
        <f>J140/J135</f>
        <v>259.46785882352941</v>
      </c>
      <c r="K138" s="13">
        <f>+K140/K135</f>
        <v>114.71443609022556</v>
      </c>
      <c r="L138" s="13">
        <f>+L140/L135</f>
        <v>141.85331896551725</v>
      </c>
      <c r="M138" s="13">
        <f>+M140/M135</f>
        <v>155.46652173913043</v>
      </c>
      <c r="N138" s="13">
        <f>+N140/N135</f>
        <v>166.35159851301117</v>
      </c>
      <c r="O138" s="13">
        <f>+O140/O135</f>
        <v>183.89686030428769</v>
      </c>
      <c r="P138" s="13">
        <f>P140/P135</f>
        <v>164.58978317432786</v>
      </c>
      <c r="Q138" s="13">
        <f>+Q140/Q135</f>
        <v>198.95568477429228</v>
      </c>
      <c r="R138" s="13">
        <f>R140/R135</f>
        <v>220.56513914656773</v>
      </c>
      <c r="S138" s="13">
        <f>+S140/S135</f>
        <v>217.75844370860929</v>
      </c>
      <c r="T138" s="13">
        <f>+T140/T135</f>
        <v>140.67936768149883</v>
      </c>
      <c r="U138" s="5">
        <f>+U140/U135</f>
        <v>194.51860465116278</v>
      </c>
      <c r="V138" s="5"/>
      <c r="W138" s="5"/>
      <c r="X138" s="13">
        <f>+X140/X135</f>
        <v>52.348333333333329</v>
      </c>
      <c r="Y138" s="13"/>
      <c r="Z138" s="13"/>
      <c r="AA138" s="13"/>
      <c r="AB138" s="13"/>
      <c r="AC138" s="13"/>
      <c r="AD138" s="90"/>
      <c r="AE138" s="13"/>
      <c r="AF138" s="99"/>
    </row>
    <row r="139" spans="2:32" ht="15" customHeight="1" x14ac:dyDescent="0.35">
      <c r="B139" s="98"/>
      <c r="C139" s="186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9"/>
    </row>
    <row r="140" spans="2:32" ht="15" customHeight="1" x14ac:dyDescent="0.35">
      <c r="B140" s="98"/>
      <c r="C140" s="186"/>
      <c r="D140" s="90"/>
      <c r="E140" s="101" t="s">
        <v>48</v>
      </c>
      <c r="F140" s="27"/>
      <c r="G140" s="27"/>
      <c r="H140" s="27">
        <f>SUM('2023 Checks'!D3,'2023 Checks'!D7,'2023 Checks'!D16)</f>
        <v>47242.32</v>
      </c>
      <c r="I140" s="27">
        <f>SUM('2023 Checks'!D14,'2023 Checks'!D20,'2023 Checks'!D40)</f>
        <v>48008.11</v>
      </c>
      <c r="J140" s="27">
        <f>SUM('2023 Checks'!D5,'2023 Checks'!D8,'2023 Checks'!D17)</f>
        <v>55136.92</v>
      </c>
      <c r="K140" s="27">
        <f>SUM('2023 Checks'!D25,'2023 Checks'!D32)</f>
        <v>45771.06</v>
      </c>
      <c r="L140" s="27">
        <v>98729.91</v>
      </c>
      <c r="M140" s="27">
        <v>25030.11</v>
      </c>
      <c r="N140" s="27">
        <v>44748.58</v>
      </c>
      <c r="O140" s="27">
        <v>265914.86</v>
      </c>
      <c r="P140" s="27">
        <f>SUM('2023 Checks'!D28,'2023 Checks'!D42)</f>
        <v>94886.010000000009</v>
      </c>
      <c r="Q140" s="27">
        <f>SUM('2023 Checks'!D11,'2023 Checks'!D23,'2023 Checks'!D30)</f>
        <v>130017.54000000001</v>
      </c>
      <c r="R140" s="27">
        <f>SUM('2023 Checks'!D27,'2023 Checks'!D44)</f>
        <v>118884.61</v>
      </c>
      <c r="S140" s="27">
        <f>SUM('2023 Checks'!D13,'2023 Checks'!D19,'2023 Checks'!D38)</f>
        <v>65763.05</v>
      </c>
      <c r="T140" s="27">
        <f>SUM('2023 Checks'!D4,'2023 Checks'!D21,'2023 Checks'!D46)</f>
        <v>120140.18</v>
      </c>
      <c r="U140" s="27">
        <f>SUM('2023 Checks'!D10,'2023 Checks'!D34)</f>
        <v>8364.2999999999993</v>
      </c>
      <c r="V140" s="27"/>
      <c r="W140" s="27"/>
      <c r="X140" s="27">
        <f>'2023 Checks'!D47</f>
        <v>942.27</v>
      </c>
      <c r="Y140" s="27"/>
      <c r="Z140" s="27"/>
      <c r="AA140" s="27"/>
      <c r="AB140" s="27">
        <f>SUM(F140:X140)</f>
        <v>1169579.83</v>
      </c>
      <c r="AC140" s="27"/>
      <c r="AD140" s="33">
        <v>0</v>
      </c>
      <c r="AE140" s="27">
        <f>SUM(AB140:AD140)</f>
        <v>1169579.83</v>
      </c>
      <c r="AF140" s="99"/>
    </row>
    <row r="141" spans="2:32" ht="15" customHeight="1" x14ac:dyDescent="0.35">
      <c r="B141" s="98"/>
      <c r="C141" s="113"/>
      <c r="D141" s="90"/>
      <c r="E141" s="1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52"/>
      <c r="AE141" s="29"/>
      <c r="AF141" s="99"/>
    </row>
    <row r="142" spans="2:32" ht="15" customHeight="1" x14ac:dyDescent="0.35">
      <c r="B142" s="98"/>
      <c r="C142" s="113"/>
      <c r="D142" s="90"/>
      <c r="E142" s="41" t="s">
        <v>52</v>
      </c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42"/>
      <c r="AC142" s="29"/>
      <c r="AD142" s="52"/>
      <c r="AE142" s="29"/>
      <c r="AF142" s="99"/>
    </row>
    <row r="143" spans="2:32" ht="15" customHeight="1" x14ac:dyDescent="0.35">
      <c r="B143" s="98"/>
      <c r="C143" s="113"/>
      <c r="D143" s="90"/>
      <c r="E143" s="43" t="s">
        <v>53</v>
      </c>
      <c r="F143" s="108"/>
      <c r="G143" s="108"/>
      <c r="H143" s="53">
        <f>H140+(H135/SUM($H$135:$J$135,$P$135:$X$135))*34953</f>
        <v>48924.668321722609</v>
      </c>
      <c r="I143" s="53">
        <f t="shared" ref="I143:J143" si="56">I140+(I135/SUM($H$135:$J$135,$P$135:$X$135))*34953</f>
        <v>49810.977426641337</v>
      </c>
      <c r="J143" s="53">
        <f t="shared" si="56"/>
        <v>57227.557534304411</v>
      </c>
      <c r="K143" s="109">
        <f>+K140</f>
        <v>45771.06</v>
      </c>
      <c r="L143" s="109">
        <f>+L140</f>
        <v>98729.91</v>
      </c>
      <c r="M143" s="109">
        <f>+M140</f>
        <v>25030.11</v>
      </c>
      <c r="N143" s="109">
        <f>+N140</f>
        <v>44748.58</v>
      </c>
      <c r="O143" s="109">
        <f>+O140</f>
        <v>265914.86</v>
      </c>
      <c r="P143" s="53">
        <f t="shared" ref="P143:T143" si="57">P140+(P135/SUM($H$135:$J$135,$P$135:$X$135))*34953</f>
        <v>100557.78665188939</v>
      </c>
      <c r="Q143" s="53">
        <f t="shared" si="57"/>
        <v>136446.86531137853</v>
      </c>
      <c r="R143" s="53">
        <f t="shared" si="57"/>
        <v>124187.4506164239</v>
      </c>
      <c r="S143" s="53">
        <f t="shared" si="57"/>
        <v>68734.214872282042</v>
      </c>
      <c r="T143" s="53">
        <f t="shared" si="57"/>
        <v>128542.08331433396</v>
      </c>
      <c r="U143" s="53">
        <f t="shared" ref="U143:X143" si="58">U140+(U135/SUM($H$135:$J$135,$P$135:$X$135))*34953</f>
        <v>8787.346654000421</v>
      </c>
      <c r="V143" s="53"/>
      <c r="W143" s="53"/>
      <c r="X143" s="53">
        <f t="shared" si="58"/>
        <v>1119.3592970234326</v>
      </c>
      <c r="Y143" s="53"/>
      <c r="Z143" s="53"/>
      <c r="AA143" s="53"/>
      <c r="AB143" s="42">
        <f>SUM(H143:X143)</f>
        <v>1204532.8299999998</v>
      </c>
      <c r="AC143" s="29">
        <f>'2023 Checks'!D62+'2023 Checks'!D63</f>
        <v>9869.89</v>
      </c>
      <c r="AD143" s="52"/>
      <c r="AE143" s="29">
        <f>SUM(AB143:AD143)</f>
        <v>1214402.7199999997</v>
      </c>
      <c r="AF143" s="99"/>
    </row>
    <row r="144" spans="2:32" ht="15" customHeight="1" x14ac:dyDescent="0.35">
      <c r="B144" s="98"/>
      <c r="C144" s="113"/>
      <c r="D144" s="90"/>
      <c r="E144" s="43" t="s">
        <v>54</v>
      </c>
      <c r="F144" s="108"/>
      <c r="G144" s="108"/>
      <c r="H144" s="54">
        <f>+H143/H135</f>
        <v>286.10917147206203</v>
      </c>
      <c r="I144" s="54">
        <f>+I143/I135</f>
        <v>271.81979496120783</v>
      </c>
      <c r="J144" s="54">
        <f>+J143/J135</f>
        <v>269.30615310260902</v>
      </c>
      <c r="K144" s="44">
        <f t="shared" ref="K144:T144" si="59">+K143/K135</f>
        <v>114.71443609022556</v>
      </c>
      <c r="L144" s="44">
        <f t="shared" si="59"/>
        <v>141.85331896551725</v>
      </c>
      <c r="M144" s="44">
        <f t="shared" si="59"/>
        <v>155.46652173913043</v>
      </c>
      <c r="N144" s="44">
        <f t="shared" si="59"/>
        <v>166.35159851301117</v>
      </c>
      <c r="O144" s="44">
        <f t="shared" si="59"/>
        <v>183.89686030428769</v>
      </c>
      <c r="P144" s="54">
        <f t="shared" si="59"/>
        <v>174.42807745340744</v>
      </c>
      <c r="Q144" s="54">
        <f t="shared" si="59"/>
        <v>208.79397905337188</v>
      </c>
      <c r="R144" s="54">
        <f t="shared" si="59"/>
        <v>230.40343342564731</v>
      </c>
      <c r="S144" s="54">
        <f t="shared" si="59"/>
        <v>227.59673798768887</v>
      </c>
      <c r="T144" s="54">
        <f t="shared" si="59"/>
        <v>150.51766196057841</v>
      </c>
      <c r="U144" s="54">
        <f t="shared" ref="U144:X144" si="60">+U143/U135</f>
        <v>204.35689893024235</v>
      </c>
      <c r="V144" s="54"/>
      <c r="W144" s="54"/>
      <c r="X144" s="54">
        <f t="shared" si="60"/>
        <v>62.186627612412927</v>
      </c>
      <c r="Y144" s="54"/>
      <c r="Z144" s="54"/>
      <c r="AA144" s="54"/>
      <c r="AB144" s="42"/>
      <c r="AC144" s="29"/>
      <c r="AD144" s="52"/>
      <c r="AE144" s="29"/>
      <c r="AF144" s="99"/>
    </row>
    <row r="145" spans="1:32" ht="6" customHeight="1" thickBot="1" x14ac:dyDescent="0.4">
      <c r="A145" s="90"/>
      <c r="B145" s="102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4"/>
    </row>
    <row r="146" spans="1:32" ht="15" thickBot="1" x14ac:dyDescent="0.4">
      <c r="A146" s="90"/>
      <c r="B146" s="90"/>
      <c r="C146" s="90"/>
      <c r="D146" s="90"/>
      <c r="E146" s="90"/>
      <c r="F146" s="90"/>
      <c r="G146" s="90"/>
      <c r="H146" s="90"/>
      <c r="I146" s="90"/>
      <c r="J146" s="106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</row>
    <row r="147" spans="1:32" ht="6" customHeight="1" x14ac:dyDescent="0.35">
      <c r="A147" s="90"/>
      <c r="B147" s="93"/>
      <c r="C147" s="94"/>
      <c r="D147" s="94"/>
      <c r="E147" s="94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97"/>
    </row>
    <row r="148" spans="1:32" ht="15" customHeight="1" x14ac:dyDescent="0.35">
      <c r="A148" s="90"/>
      <c r="B148" s="98"/>
      <c r="C148" s="186">
        <v>2024</v>
      </c>
      <c r="D148" s="90"/>
      <c r="E148" s="35" t="s">
        <v>41</v>
      </c>
      <c r="F148" s="105"/>
      <c r="G148" s="105"/>
      <c r="H148" s="105">
        <f>+H150*16</f>
        <v>1616</v>
      </c>
      <c r="I148" s="105">
        <f t="shared" ref="I148" si="61">+I150*16</f>
        <v>5792</v>
      </c>
      <c r="J148" s="105">
        <f t="shared" ref="J148:U148" si="62">+J150*16</f>
        <v>2800</v>
      </c>
      <c r="K148" s="105">
        <f t="shared" si="62"/>
        <v>7536</v>
      </c>
      <c r="L148" s="105">
        <f t="shared" si="62"/>
        <v>7116</v>
      </c>
      <c r="M148" s="105">
        <f t="shared" si="62"/>
        <v>2784</v>
      </c>
      <c r="N148" s="105">
        <f t="shared" si="62"/>
        <v>4568</v>
      </c>
      <c r="O148" s="105">
        <f>+O150*16</f>
        <v>10400</v>
      </c>
      <c r="P148" s="105">
        <f t="shared" ref="P148" si="63">+P150*16</f>
        <v>9136</v>
      </c>
      <c r="Q148" s="105">
        <f t="shared" ref="Q148:T148" si="64">+Q150*16</f>
        <v>10688</v>
      </c>
      <c r="R148" s="105">
        <f t="shared" si="64"/>
        <v>7152</v>
      </c>
      <c r="S148" s="105">
        <f t="shared" si="64"/>
        <v>4864</v>
      </c>
      <c r="T148" s="105">
        <f t="shared" si="64"/>
        <v>16176</v>
      </c>
      <c r="U148" s="105">
        <f t="shared" si="62"/>
        <v>1024</v>
      </c>
      <c r="V148" s="105"/>
      <c r="W148" s="105"/>
      <c r="X148" s="105">
        <f t="shared" ref="X148:Y148" si="65">+X150*16</f>
        <v>1456</v>
      </c>
      <c r="Y148" s="105">
        <f t="shared" si="65"/>
        <v>80</v>
      </c>
      <c r="Z148" s="105"/>
      <c r="AA148" s="105"/>
      <c r="AB148" s="26">
        <f>SUM(F148:X148)</f>
        <v>93108</v>
      </c>
      <c r="AC148" s="105"/>
      <c r="AD148" s="105"/>
      <c r="AE148" s="105"/>
      <c r="AF148" s="99"/>
    </row>
    <row r="149" spans="1:32" ht="15" customHeight="1" x14ac:dyDescent="0.35">
      <c r="A149" s="90"/>
      <c r="B149" s="98"/>
      <c r="C149" s="186"/>
      <c r="D149" s="90"/>
      <c r="E149" s="35" t="s">
        <v>42</v>
      </c>
      <c r="F149" s="26"/>
      <c r="G149" s="26"/>
      <c r="H149" s="26">
        <f t="shared" ref="H149:U149" si="66">+H148/H5</f>
        <v>80.8</v>
      </c>
      <c r="I149" s="26">
        <f t="shared" si="66"/>
        <v>579.20000000000005</v>
      </c>
      <c r="J149" s="26">
        <f t="shared" si="66"/>
        <v>280</v>
      </c>
      <c r="K149" s="26">
        <f t="shared" si="66"/>
        <v>376.8</v>
      </c>
      <c r="L149" s="26">
        <f t="shared" si="66"/>
        <v>355.8</v>
      </c>
      <c r="M149" s="26">
        <f t="shared" si="66"/>
        <v>556.79999999999995</v>
      </c>
      <c r="N149" s="26">
        <f t="shared" si="66"/>
        <v>571</v>
      </c>
      <c r="O149" s="26">
        <f t="shared" si="66"/>
        <v>433.33333333333331</v>
      </c>
      <c r="P149" s="26">
        <f t="shared" si="66"/>
        <v>456.8</v>
      </c>
      <c r="Q149" s="26">
        <f t="shared" si="66"/>
        <v>534.4</v>
      </c>
      <c r="R149" s="26">
        <f t="shared" si="66"/>
        <v>357.6</v>
      </c>
      <c r="S149" s="26">
        <f t="shared" si="66"/>
        <v>277.94285714285712</v>
      </c>
      <c r="T149" s="26">
        <f t="shared" si="66"/>
        <v>898.66666666666663</v>
      </c>
      <c r="U149" s="26">
        <f t="shared" si="66"/>
        <v>186.18181818181819</v>
      </c>
      <c r="V149" s="26"/>
      <c r="W149" s="26"/>
      <c r="X149" s="26">
        <f>+X148/X5</f>
        <v>72.8</v>
      </c>
      <c r="Y149" s="26">
        <f>+Y148/Y5</f>
        <v>7.4906367041198507</v>
      </c>
      <c r="Z149" s="26"/>
      <c r="AA149" s="26"/>
      <c r="AB149" s="26"/>
      <c r="AC149" s="26"/>
      <c r="AD149" s="26"/>
      <c r="AE149" s="26"/>
      <c r="AF149" s="99"/>
    </row>
    <row r="150" spans="1:32" ht="15" customHeight="1" x14ac:dyDescent="0.35">
      <c r="A150" s="90"/>
      <c r="B150" s="98"/>
      <c r="C150" s="186"/>
      <c r="D150" s="90"/>
      <c r="E150" s="35" t="s">
        <v>43</v>
      </c>
      <c r="F150" s="31"/>
      <c r="G150" s="31"/>
      <c r="H150" s="26">
        <f>'2024 Checks'!P2</f>
        <v>101</v>
      </c>
      <c r="I150" s="26">
        <f>'2024 Checks'!P3</f>
        <v>362</v>
      </c>
      <c r="J150" s="26">
        <f>'2024 Checks'!P4</f>
        <v>175</v>
      </c>
      <c r="K150" s="26">
        <f>'2024 Checks'!P5</f>
        <v>471</v>
      </c>
      <c r="L150" s="26">
        <f>'2024 Checks'!P6</f>
        <v>444.75</v>
      </c>
      <c r="M150" s="26">
        <f>'2024 Checks'!P7</f>
        <v>174</v>
      </c>
      <c r="N150" s="26">
        <f>'2024 Checks'!P8</f>
        <v>285.5</v>
      </c>
      <c r="O150" s="26">
        <f>'2024 Checks'!P9</f>
        <v>650</v>
      </c>
      <c r="P150" s="26">
        <f>'2024 Checks'!P10</f>
        <v>571</v>
      </c>
      <c r="Q150" s="26">
        <f>'2024 Checks'!P11</f>
        <v>668</v>
      </c>
      <c r="R150" s="26">
        <f>'2024 Checks'!P12</f>
        <v>447</v>
      </c>
      <c r="S150" s="26">
        <f>'2024 Checks'!P13</f>
        <v>304</v>
      </c>
      <c r="T150" s="26">
        <f>'2024 Checks'!P14</f>
        <v>1011</v>
      </c>
      <c r="U150" s="26">
        <f>'2024 Checks'!P15</f>
        <v>64</v>
      </c>
      <c r="V150" s="26"/>
      <c r="W150" s="26"/>
      <c r="X150" s="26">
        <f>'2024 Checks'!P16</f>
        <v>91</v>
      </c>
      <c r="Y150" s="26">
        <f>'2024 Checks'!P17</f>
        <v>5</v>
      </c>
      <c r="Z150" s="26"/>
      <c r="AA150" s="26"/>
      <c r="AB150" s="26">
        <f>SUM(F150:Y150)</f>
        <v>5824.25</v>
      </c>
      <c r="AC150" s="26"/>
      <c r="AD150" s="26"/>
      <c r="AE150" s="26"/>
      <c r="AF150" s="99"/>
    </row>
    <row r="151" spans="1:32" ht="15" customHeight="1" x14ac:dyDescent="0.35">
      <c r="A151" s="90"/>
      <c r="B151" s="98"/>
      <c r="C151" s="186"/>
      <c r="D151" s="90"/>
      <c r="E151" s="35" t="s">
        <v>44</v>
      </c>
      <c r="F151" s="26"/>
      <c r="G151" s="26"/>
      <c r="H151" s="26">
        <f t="shared" ref="H151:U151" si="67">+H150/H5</f>
        <v>5.05</v>
      </c>
      <c r="I151" s="26">
        <f t="shared" si="67"/>
        <v>36.200000000000003</v>
      </c>
      <c r="J151" s="26">
        <f t="shared" si="67"/>
        <v>17.5</v>
      </c>
      <c r="K151" s="26">
        <f t="shared" si="67"/>
        <v>23.55</v>
      </c>
      <c r="L151" s="26">
        <f t="shared" si="67"/>
        <v>22.237500000000001</v>
      </c>
      <c r="M151" s="26">
        <f t="shared" si="67"/>
        <v>34.799999999999997</v>
      </c>
      <c r="N151" s="26">
        <f t="shared" si="67"/>
        <v>35.6875</v>
      </c>
      <c r="O151" s="26">
        <f t="shared" si="67"/>
        <v>27.083333333333332</v>
      </c>
      <c r="P151" s="26">
        <f t="shared" si="67"/>
        <v>28.55</v>
      </c>
      <c r="Q151" s="26">
        <f t="shared" si="67"/>
        <v>33.4</v>
      </c>
      <c r="R151" s="26">
        <f t="shared" si="67"/>
        <v>22.35</v>
      </c>
      <c r="S151" s="26">
        <f t="shared" si="67"/>
        <v>17.37142857142857</v>
      </c>
      <c r="T151" s="26">
        <f t="shared" si="67"/>
        <v>56.166666666666664</v>
      </c>
      <c r="U151" s="26">
        <f t="shared" si="67"/>
        <v>11.636363636363637</v>
      </c>
      <c r="V151" s="26"/>
      <c r="W151" s="26"/>
      <c r="X151" s="26">
        <f>+X150/X5</f>
        <v>4.55</v>
      </c>
      <c r="Y151" s="26">
        <f>+Y150/Y5</f>
        <v>0.46816479400749067</v>
      </c>
      <c r="Z151" s="26"/>
      <c r="AA151" s="26"/>
      <c r="AB151" s="26"/>
      <c r="AC151" s="26"/>
      <c r="AD151" s="90"/>
      <c r="AE151" s="26"/>
      <c r="AF151" s="99"/>
    </row>
    <row r="152" spans="1:32" ht="15" customHeight="1" x14ac:dyDescent="0.35">
      <c r="A152" s="90"/>
      <c r="B152" s="98"/>
      <c r="C152" s="186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26"/>
      <c r="AC152" s="90"/>
      <c r="AD152" s="90"/>
      <c r="AE152" s="90"/>
      <c r="AF152" s="99"/>
    </row>
    <row r="153" spans="1:32" ht="15" customHeight="1" x14ac:dyDescent="0.35">
      <c r="A153" s="90"/>
      <c r="B153" s="98"/>
      <c r="C153" s="186"/>
      <c r="D153" s="90"/>
      <c r="E153" s="100" t="s">
        <v>45</v>
      </c>
      <c r="F153" s="13"/>
      <c r="G153" s="34"/>
      <c r="H153" s="13">
        <f>+H155/H150</f>
        <v>167.86079207920795</v>
      </c>
      <c r="I153" s="13">
        <f>+I155/I150</f>
        <v>276.2160497237569</v>
      </c>
      <c r="J153" s="13">
        <f>+J155/J150</f>
        <v>336.27291428571425</v>
      </c>
      <c r="K153" s="13">
        <f>+K155/K150</f>
        <v>114.02980891719746</v>
      </c>
      <c r="L153" s="13">
        <f t="shared" ref="L153:Y153" si="68">+L155/L150</f>
        <v>173.3510961214165</v>
      </c>
      <c r="M153" s="13">
        <f t="shared" si="68"/>
        <v>193.26017241379313</v>
      </c>
      <c r="N153" s="13">
        <f t="shared" si="68"/>
        <v>199.81597197898424</v>
      </c>
      <c r="O153" s="13">
        <f t="shared" si="68"/>
        <v>186.75724615384615</v>
      </c>
      <c r="P153" s="13">
        <f>+P155/P150</f>
        <v>105.00812609457093</v>
      </c>
      <c r="Q153" s="13">
        <f t="shared" si="68"/>
        <v>189.05366766467066</v>
      </c>
      <c r="R153" s="13">
        <f t="shared" si="68"/>
        <v>217.48230425055928</v>
      </c>
      <c r="S153" s="13">
        <f t="shared" si="68"/>
        <v>196.71628289473685</v>
      </c>
      <c r="T153" s="13">
        <f t="shared" si="68"/>
        <v>107.16082096933728</v>
      </c>
      <c r="U153" s="13">
        <f t="shared" si="68"/>
        <v>204.89859375</v>
      </c>
      <c r="V153" s="13"/>
      <c r="W153" s="13"/>
      <c r="X153" s="13">
        <f t="shared" si="68"/>
        <v>63.38</v>
      </c>
      <c r="Y153" s="13">
        <f t="shared" si="68"/>
        <v>180</v>
      </c>
      <c r="Z153" s="13"/>
      <c r="AA153" s="13"/>
      <c r="AB153" s="13"/>
      <c r="AC153" s="13"/>
      <c r="AD153" s="90"/>
      <c r="AE153" s="13"/>
      <c r="AF153" s="99"/>
    </row>
    <row r="154" spans="1:32" ht="15" customHeight="1" x14ac:dyDescent="0.35">
      <c r="A154" s="90"/>
      <c r="B154" s="98"/>
      <c r="C154" s="186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9"/>
    </row>
    <row r="155" spans="1:32" ht="15" customHeight="1" x14ac:dyDescent="0.35">
      <c r="A155" s="90"/>
      <c r="B155" s="98"/>
      <c r="C155" s="186"/>
      <c r="D155" s="90"/>
      <c r="E155" s="101" t="s">
        <v>48</v>
      </c>
      <c r="F155" s="27"/>
      <c r="G155" s="27"/>
      <c r="H155" s="78">
        <f>'2024 Checks'!N2</f>
        <v>16953.940000000002</v>
      </c>
      <c r="I155" s="78">
        <f>'2024 Checks'!N3</f>
        <v>99990.21</v>
      </c>
      <c r="J155" s="78">
        <f>SUM('2024 Checks'!E7,'2024 Checks'!E12)</f>
        <v>58847.759999999995</v>
      </c>
      <c r="K155" s="78">
        <f>'2024 Checks'!N5</f>
        <v>53708.04</v>
      </c>
      <c r="L155" s="78">
        <f>'2024 Checks'!N6</f>
        <v>77097.899999999994</v>
      </c>
      <c r="M155" s="78">
        <f>'2024 Checks'!N7</f>
        <v>33627.270000000004</v>
      </c>
      <c r="N155" s="78">
        <f>'2024 Checks'!N8</f>
        <v>57047.46</v>
      </c>
      <c r="O155" s="78">
        <f>'2024 Checks'!N9</f>
        <v>121392.20999999999</v>
      </c>
      <c r="P155" s="78">
        <f>'2024 Checks'!O10</f>
        <v>59959.64</v>
      </c>
      <c r="Q155" s="78">
        <f>'2024 Checks'!O11</f>
        <v>126287.85</v>
      </c>
      <c r="R155" s="78">
        <f>'2024 Checks'!O12</f>
        <v>97214.59</v>
      </c>
      <c r="S155" s="78">
        <f>'2024 Checks'!N13</f>
        <v>59801.75</v>
      </c>
      <c r="T155" s="78">
        <f>'2024 Checks'!N14</f>
        <v>108339.59</v>
      </c>
      <c r="U155" s="78">
        <f>'2024 Checks'!O15</f>
        <v>13113.51</v>
      </c>
      <c r="V155" s="78"/>
      <c r="W155" s="78"/>
      <c r="X155" s="78">
        <f>'2024 Checks'!N16</f>
        <v>5767.58</v>
      </c>
      <c r="Y155" s="78">
        <f>'2024 Checks'!O17</f>
        <v>900</v>
      </c>
      <c r="Z155" s="78"/>
      <c r="AA155" s="78"/>
      <c r="AB155" s="78">
        <f>SUM(F155:Y155)</f>
        <v>990049.29999999993</v>
      </c>
      <c r="AC155" s="78">
        <f>'2024 Checks'!N20+'2024 Checks'!N21</f>
        <v>18339.800000000003</v>
      </c>
      <c r="AD155" s="79">
        <v>0</v>
      </c>
      <c r="AE155" s="78">
        <f>SUM(AB155:AD155)</f>
        <v>1008389.1</v>
      </c>
      <c r="AF155" s="99"/>
    </row>
    <row r="156" spans="1:32" ht="6" customHeight="1" thickBot="1" x14ac:dyDescent="0.4">
      <c r="A156" s="90"/>
      <c r="B156" s="102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4"/>
    </row>
    <row r="157" spans="1:32" s="69" customFormat="1" ht="15" thickBot="1" x14ac:dyDescent="0.4">
      <c r="A157" s="90"/>
      <c r="B157" s="90"/>
      <c r="C157" s="90"/>
      <c r="D157" s="90"/>
      <c r="E157" s="90"/>
      <c r="F157" s="90"/>
      <c r="G157" s="90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110"/>
      <c r="AC157" s="111"/>
      <c r="AD157" s="111"/>
      <c r="AE157" s="111"/>
      <c r="AF157" s="111"/>
    </row>
    <row r="158" spans="1:32" x14ac:dyDescent="0.35">
      <c r="A158" s="90"/>
      <c r="B158" s="93"/>
      <c r="C158" s="94"/>
      <c r="D158" s="94"/>
      <c r="E158" s="94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97"/>
    </row>
    <row r="159" spans="1:32" x14ac:dyDescent="0.35">
      <c r="A159" s="90"/>
      <c r="B159" s="98"/>
      <c r="C159" s="186">
        <v>2025</v>
      </c>
      <c r="D159" s="90"/>
      <c r="E159" s="1" t="s">
        <v>308</v>
      </c>
      <c r="F159" s="105"/>
      <c r="G159" s="105"/>
      <c r="H159" s="105">
        <v>926</v>
      </c>
      <c r="I159" s="105">
        <v>926</v>
      </c>
      <c r="J159" s="105">
        <v>926</v>
      </c>
      <c r="K159" s="105">
        <v>531</v>
      </c>
      <c r="L159" s="105">
        <v>531</v>
      </c>
      <c r="M159" s="105">
        <v>531</v>
      </c>
      <c r="N159" s="105">
        <v>531</v>
      </c>
      <c r="O159" s="105">
        <v>531</v>
      </c>
      <c r="P159" s="105">
        <v>531</v>
      </c>
      <c r="Q159" s="105">
        <v>531</v>
      </c>
      <c r="R159" s="105">
        <v>531</v>
      </c>
      <c r="S159" s="105">
        <v>926</v>
      </c>
      <c r="T159" s="105">
        <v>674</v>
      </c>
      <c r="U159" s="105">
        <v>531</v>
      </c>
      <c r="V159" s="105">
        <v>531</v>
      </c>
      <c r="W159" s="105">
        <v>929</v>
      </c>
      <c r="X159" s="105">
        <v>674</v>
      </c>
      <c r="Y159" s="105">
        <v>926</v>
      </c>
      <c r="Z159" s="105">
        <v>531</v>
      </c>
      <c r="AA159" s="105">
        <v>531</v>
      </c>
      <c r="AB159" s="26"/>
      <c r="AC159" s="105"/>
      <c r="AD159" s="105"/>
      <c r="AE159" s="105"/>
      <c r="AF159" s="99"/>
    </row>
    <row r="160" spans="1:32" x14ac:dyDescent="0.35">
      <c r="A160" s="90"/>
      <c r="B160" s="98"/>
      <c r="C160" s="186"/>
      <c r="D160" s="90"/>
      <c r="E160" s="143" t="s">
        <v>309</v>
      </c>
      <c r="F160" s="105"/>
      <c r="G160" s="105"/>
      <c r="H160" s="144">
        <f>IFERROR(IF(OR(H$3="",H159=""),"",H159*VLOOKUP(H$3,Conversion!$F$3:$I$13,4,FALSE)/VLOOKUP(H$3,Conversion!$F$3:$I$13,3,FALSE)),"Invalid Commodity")*H$5</f>
        <v>533.71757925072052</v>
      </c>
      <c r="I160" s="144">
        <f>IFERROR(IF(OR(I$3="",I159=""),"",I159*VLOOKUP(I$3,Conversion!$F$3:$I$13,4,FALSE)/VLOOKUP(I$3,Conversion!$F$3:$I$13,3,FALSE)),"Invalid Commodity")*I$5</f>
        <v>266.85878962536026</v>
      </c>
      <c r="J160" s="144">
        <f>IFERROR(IF(OR(J$3="",J159=""),"",J159*VLOOKUP(J$3,Conversion!$F$3:$I$13,4,FALSE)/VLOOKUP(J$3,Conversion!$F$3:$I$13,3,FALSE)),"Invalid Commodity")*J$5</f>
        <v>266.85878962536026</v>
      </c>
      <c r="K160" s="144">
        <f>IFERROR(IF(OR(K$3="",K159=""),"",K159*VLOOKUP(K$3,Conversion!$F$3:$I$13,4,FALSE)/VLOOKUP(K$3,Conversion!$F$3:$I$13,3,FALSE)),"Invalid Commodity")*K$5</f>
        <v>438.6521739130435</v>
      </c>
      <c r="L160" s="144">
        <f>IFERROR(IF(OR(L$3="",L159=""),"",L159*VLOOKUP(L$3,Conversion!$F$3:$I$13,4,FALSE)/VLOOKUP(L$3,Conversion!$F$3:$I$13,3,FALSE)),"Invalid Commodity")*L$5</f>
        <v>434.87068965517238</v>
      </c>
      <c r="M160" s="144">
        <f>IFERROR(IF(OR(M$3="",M159=""),"",M159*VLOOKUP(M$3,Conversion!$F$3:$I$13,4,FALSE)/VLOOKUP(M$3,Conversion!$F$3:$I$13,3,FALSE)),"Invalid Commodity")*M$5</f>
        <v>108.7176724137931</v>
      </c>
      <c r="N160" s="144">
        <f>IFERROR(IF(OR(N$3="",N159=""),"",N159*VLOOKUP(N$3,Conversion!$F$3:$I$13,4,FALSE)/VLOOKUP(N$3,Conversion!$F$3:$I$13,3,FALSE)),"Invalid Commodity")*N$5</f>
        <v>173.94827586206895</v>
      </c>
      <c r="O160" s="144">
        <f>IFERROR(IF(OR(O$3="",O159=""),"",O159*VLOOKUP(O$3,Conversion!$F$3:$I$13,4,FALSE)/VLOOKUP(O$3,Conversion!$F$3:$I$13,3,FALSE)),"Invalid Commodity")*O$5</f>
        <v>521.84482758620686</v>
      </c>
      <c r="P160" s="144">
        <f>IFERROR(IF(OR(P$3="",P159=""),"",P159*VLOOKUP(P$3,Conversion!$F$3:$I$13,4,FALSE)/VLOOKUP(P$3,Conversion!$F$3:$I$13,3,FALSE)),"Invalid Commodity")*P$5</f>
        <v>438.6521739130435</v>
      </c>
      <c r="Q160" s="144">
        <f>IFERROR(IF(OR(Q$3="",Q159=""),"",Q159*VLOOKUP(Q$3,Conversion!$F$3:$I$13,4,FALSE)/VLOOKUP(Q$3,Conversion!$F$3:$I$13,3,FALSE)),"Invalid Commodity")*Q$5</f>
        <v>438.6521739130435</v>
      </c>
      <c r="R160" s="144">
        <f>IFERROR(IF(OR(R$3="",R159=""),"",R159*VLOOKUP(R$3,Conversion!$F$3:$I$13,4,FALSE)/VLOOKUP(R$3,Conversion!$F$3:$I$13,3,FALSE)),"Invalid Commodity")*R$5</f>
        <v>438.6521739130435</v>
      </c>
      <c r="S160" s="144">
        <f>IFERROR(IF(OR(S$3="",S159=""),"",S159*VLOOKUP(S$3,Conversion!$F$3:$I$13,4,FALSE)/VLOOKUP(S$3,Conversion!$F$3:$I$13,3,FALSE)),"Invalid Commodity")*S$5</f>
        <v>467.0028818443804</v>
      </c>
      <c r="T160" s="144">
        <f>IFERROR(IF(OR(T$3="",T159=""),"",T159*VLOOKUP(T$3,Conversion!$F$3:$I$13,4,FALSE)/VLOOKUP(T$3,Conversion!$F$3:$I$13,3,FALSE)),"Invalid Commodity")*T$5</f>
        <v>551.4545454545455</v>
      </c>
      <c r="U160" s="144">
        <f>IFERROR(IF(OR(U$3="",U159=""),"",U159*VLOOKUP(U$3,Conversion!$F$3:$I$13,4,FALSE)/VLOOKUP(U$3,Conversion!$F$3:$I$13,3,FALSE)),"Invalid Commodity")*U$5</f>
        <v>120.62934782608696</v>
      </c>
      <c r="V160" s="144">
        <f>IFERROR(IF(OR(V$3="",V159=""),"",V159*VLOOKUP(V$3,Conversion!$F$3:$I$13,4,FALSE)/VLOOKUP(V$3,Conversion!$F$3:$I$13,3,FALSE)),"Invalid Commodity")*V$5</f>
        <v>227.87980434782611</v>
      </c>
      <c r="W160" s="144">
        <f>IFERROR(IF(OR(W$3="",W159=""),"",W159*VLOOKUP(W$3,Conversion!$F$3:$I$13,4,FALSE)/VLOOKUP(W$3,Conversion!$F$3:$I$13,3,FALSE)),"Invalid Commodity")*W$5</f>
        <v>350.36571428571426</v>
      </c>
      <c r="X160" s="144">
        <f>IFERROR(IF(OR(X$3="",X159=""),"",X159*VLOOKUP(X$3,Conversion!$F$3:$I$13,4,FALSE)/VLOOKUP(X$3,Conversion!$F$3:$I$13,3,FALSE)),"Invalid Commodity")*X$5</f>
        <v>612.72727272727275</v>
      </c>
      <c r="Y160" s="144">
        <f>IFERROR(IF(OR(Y$3="",Y159=""),"",Y159*VLOOKUP(Y$3,Conversion!$F$3:$I$13,4,FALSE)/VLOOKUP(Y$3,Conversion!$F$3:$I$13,3,FALSE)),"Invalid Commodity")*Y$5</f>
        <v>285.00518731988473</v>
      </c>
      <c r="Z160" s="144">
        <f>IFERROR(IF(OR(Z$3="",Z159=""),"",Z159*VLOOKUP(Z$3,Conversion!$F$3:$I$13,4,FALSE)/VLOOKUP(Z$3,Conversion!$F$3:$I$13,3,FALSE)),"Invalid Commodity")*Z$5</f>
        <v>870.06658695652175</v>
      </c>
      <c r="AA160" s="144">
        <f>IFERROR(IF(OR(AA$3="",AA159=""),"",AA159*VLOOKUP(AA$3,Conversion!$F$3:$I$13,4,FALSE)/VLOOKUP(AA$3,Conversion!$F$3:$I$13,3,FALSE)),"Invalid Commodity")*AA$5</f>
        <v>253.10230434782608</v>
      </c>
      <c r="AB160" s="26"/>
      <c r="AC160" s="105"/>
      <c r="AD160" s="105"/>
      <c r="AE160" s="105"/>
      <c r="AF160" s="99"/>
    </row>
    <row r="161" spans="1:32" x14ac:dyDescent="0.35">
      <c r="A161" s="90"/>
      <c r="B161" s="98"/>
      <c r="C161" s="186"/>
      <c r="D161" s="90"/>
      <c r="E161" s="149" t="s">
        <v>307</v>
      </c>
      <c r="F161" s="105"/>
      <c r="G161" s="105"/>
      <c r="H161" s="14">
        <v>12.25</v>
      </c>
      <c r="I161" s="14">
        <v>12.8</v>
      </c>
      <c r="J161" s="14">
        <v>12.25</v>
      </c>
      <c r="K161" s="14">
        <v>10.8</v>
      </c>
      <c r="L161" s="14">
        <v>10.199999999999999</v>
      </c>
      <c r="M161" s="14">
        <v>10.199999999999999</v>
      </c>
      <c r="N161" s="14">
        <v>10.199999999999999</v>
      </c>
      <c r="O161" s="14">
        <v>10.199999999999999</v>
      </c>
      <c r="P161" s="14">
        <v>10.8</v>
      </c>
      <c r="Q161" s="14">
        <v>14.05</v>
      </c>
      <c r="R161" s="14">
        <v>10.8</v>
      </c>
      <c r="S161" s="14">
        <v>12.8</v>
      </c>
      <c r="T161" s="14">
        <v>11.05</v>
      </c>
      <c r="U161" s="14">
        <v>10.8</v>
      </c>
      <c r="V161" s="14">
        <v>10.8</v>
      </c>
      <c r="W161" s="14">
        <v>8.0500000000000007</v>
      </c>
      <c r="X161" s="14">
        <v>11.05</v>
      </c>
      <c r="Y161" s="14">
        <v>12.8</v>
      </c>
      <c r="Z161" s="14">
        <v>10.8</v>
      </c>
      <c r="AA161" s="14">
        <v>14.05</v>
      </c>
      <c r="AB161" s="26"/>
      <c r="AC161" s="105"/>
      <c r="AD161" s="105"/>
      <c r="AE161" s="105"/>
      <c r="AF161" s="99"/>
    </row>
    <row r="162" spans="1:32" x14ac:dyDescent="0.35">
      <c r="A162" s="90"/>
      <c r="B162" s="98"/>
      <c r="C162" s="186"/>
      <c r="D162" s="90"/>
      <c r="E162" s="155" t="s">
        <v>310</v>
      </c>
      <c r="F162" s="105"/>
      <c r="G162" s="105"/>
      <c r="H162" s="156">
        <f>47082.37/92899.73</f>
        <v>0.50680846973398097</v>
      </c>
      <c r="I162" s="156">
        <f t="shared" ref="I162:AA162" si="69">47082.37/92899.73</f>
        <v>0.50680846973398097</v>
      </c>
      <c r="J162" s="156">
        <f t="shared" si="69"/>
        <v>0.50680846973398097</v>
      </c>
      <c r="K162" s="156">
        <f t="shared" si="69"/>
        <v>0.50680846973398097</v>
      </c>
      <c r="L162" s="156">
        <f t="shared" si="69"/>
        <v>0.50680846973398097</v>
      </c>
      <c r="M162" s="156">
        <f t="shared" si="69"/>
        <v>0.50680846973398097</v>
      </c>
      <c r="N162" s="156">
        <f t="shared" si="69"/>
        <v>0.50680846973398097</v>
      </c>
      <c r="O162" s="156">
        <f t="shared" si="69"/>
        <v>0.50680846973398097</v>
      </c>
      <c r="P162" s="156">
        <f t="shared" si="69"/>
        <v>0.50680846973398097</v>
      </c>
      <c r="Q162" s="156">
        <f t="shared" si="69"/>
        <v>0.50680846973398097</v>
      </c>
      <c r="R162" s="156">
        <f t="shared" si="69"/>
        <v>0.50680846973398097</v>
      </c>
      <c r="S162" s="156">
        <f t="shared" si="69"/>
        <v>0.50680846973398097</v>
      </c>
      <c r="T162" s="156">
        <f t="shared" si="69"/>
        <v>0.50680846973398097</v>
      </c>
      <c r="U162" s="156">
        <f t="shared" si="69"/>
        <v>0.50680846973398097</v>
      </c>
      <c r="V162" s="156">
        <f t="shared" si="69"/>
        <v>0.50680846973398097</v>
      </c>
      <c r="W162" s="156">
        <f t="shared" si="69"/>
        <v>0.50680846973398097</v>
      </c>
      <c r="X162" s="156">
        <f t="shared" si="69"/>
        <v>0.50680846973398097</v>
      </c>
      <c r="Y162" s="156">
        <f t="shared" si="69"/>
        <v>0.50680846973398097</v>
      </c>
      <c r="Z162" s="156">
        <f t="shared" si="69"/>
        <v>0.50680846973398097</v>
      </c>
      <c r="AA162" s="156">
        <f t="shared" si="69"/>
        <v>0.50680846973398097</v>
      </c>
      <c r="AB162" s="26"/>
      <c r="AC162" s="105"/>
      <c r="AD162" s="105"/>
      <c r="AE162" s="105"/>
      <c r="AF162" s="99"/>
    </row>
    <row r="163" spans="1:32" x14ac:dyDescent="0.35">
      <c r="A163" s="90"/>
      <c r="B163" s="98"/>
      <c r="C163" s="186"/>
      <c r="D163" s="90"/>
      <c r="E163" s="161" t="s">
        <v>301</v>
      </c>
      <c r="F163" s="105"/>
      <c r="G163" s="105"/>
      <c r="H163" s="29">
        <f>IFERROR(IF(OR(H$3="",H161=""),"",H161*VLOOKUP(H$3,Conversion!$F$3:$I$13,3,FALSE)/VLOOKUP(H$3,Conversion!$F$3:$I$13,4,FALSE)),"Invalid Commodity")*(1-H162)</f>
        <v>209.64338972782804</v>
      </c>
      <c r="I163" s="29">
        <f>IFERROR(IF(OR(I$3="",I161=""),"",I161*VLOOKUP(I$3,Conversion!$F$3:$I$13,3,FALSE)/VLOOKUP(I$3,Conversion!$F$3:$I$13,4,FALSE)),"Invalid Commodity")*(1-I162)</f>
        <v>219.05595008295504</v>
      </c>
      <c r="J163" s="29">
        <f>IFERROR(IF(OR(J$3="",J161=""),"",J161*VLOOKUP(J$3,Conversion!$F$3:$I$13,3,FALSE)/VLOOKUP(J$3,Conversion!$F$3:$I$13,4,FALSE)),"Invalid Commodity")*(1-J162)</f>
        <v>209.64338972782804</v>
      </c>
      <c r="K163" s="29">
        <f>IFERROR(IF(OR(K$3="",K161=""),"",K161*VLOOKUP(K$3,Conversion!$F$3:$I$13,3,FALSE)/VLOOKUP(K$3,Conversion!$F$3:$I$13,4,FALSE)),"Invalid Commodity")*(1-K162)</f>
        <v>128.95660644008328</v>
      </c>
      <c r="L163" s="29">
        <f>IFERROR(IF(OR(L$3="",L161=""),"",L161*VLOOKUP(L$3,Conversion!$F$3:$I$13,3,FALSE)/VLOOKUP(L$3,Conversion!$F$3:$I$13,4,FALSE)),"Invalid Commodity")*(1-L162)</f>
        <v>122.85141444436918</v>
      </c>
      <c r="M163" s="29">
        <f>IFERROR(IF(OR(M$3="",M161=""),"",M161*VLOOKUP(M$3,Conversion!$F$3:$I$13,3,FALSE)/VLOOKUP(M$3,Conversion!$F$3:$I$13,4,FALSE)),"Invalid Commodity")*(1-M162)</f>
        <v>122.85141444436918</v>
      </c>
      <c r="N163" s="29">
        <f>IFERROR(IF(OR(N$3="",N161=""),"",N161*VLOOKUP(N$3,Conversion!$F$3:$I$13,3,FALSE)/VLOOKUP(N$3,Conversion!$F$3:$I$13,4,FALSE)),"Invalid Commodity")*(1-N162)</f>
        <v>122.85141444436918</v>
      </c>
      <c r="O163" s="29">
        <f>IFERROR(IF(OR(O$3="",O161=""),"",O161*VLOOKUP(O$3,Conversion!$F$3:$I$13,3,FALSE)/VLOOKUP(O$3,Conversion!$F$3:$I$13,4,FALSE)),"Invalid Commodity")*(1-O162)</f>
        <v>122.85141444436918</v>
      </c>
      <c r="P163" s="29">
        <f>IFERROR(IF(OR(P$3="",P161=""),"",P161*VLOOKUP(P$3,Conversion!$F$3:$I$13,3,FALSE)/VLOOKUP(P$3,Conversion!$F$3:$I$13,4,FALSE)),"Invalid Commodity")*(1-P162)</f>
        <v>128.95660644008328</v>
      </c>
      <c r="Q163" s="29">
        <f>IFERROR(IF(OR(Q$3="",Q161=""),"",Q161*VLOOKUP(Q$3,Conversion!$F$3:$I$13,3,FALSE)/VLOOKUP(Q$3,Conversion!$F$3:$I$13,4,FALSE)),"Invalid Commodity")*(1-Q162)</f>
        <v>167.76299263733057</v>
      </c>
      <c r="R163" s="29">
        <f>IFERROR(IF(OR(R$3="",R161=""),"",R161*VLOOKUP(R$3,Conversion!$F$3:$I$13,3,FALSE)/VLOOKUP(R$3,Conversion!$F$3:$I$13,4,FALSE)),"Invalid Commodity")*(1-R162)</f>
        <v>128.95660644008328</v>
      </c>
      <c r="S163" s="29">
        <f>IFERROR(IF(OR(S$3="",S161=""),"",S161*VLOOKUP(S$3,Conversion!$F$3:$I$13,3,FALSE)/VLOOKUP(S$3,Conversion!$F$3:$I$13,4,FALSE)),"Invalid Commodity")*(1-S162)</f>
        <v>219.05595008295504</v>
      </c>
      <c r="T163" s="29">
        <f>IFERROR(IF(OR(T$3="",T161=""),"",T161*VLOOKUP(T$3,Conversion!$F$3:$I$13,3,FALSE)/VLOOKUP(T$3,Conversion!$F$3:$I$13,4,FALSE)),"Invalid Commodity")*(1-T162)</f>
        <v>119.89486100766922</v>
      </c>
      <c r="U163" s="29">
        <f>IFERROR(IF(OR(U$3="",U161=""),"",U161*VLOOKUP(U$3,Conversion!$F$3:$I$13,3,FALSE)/VLOOKUP(U$3,Conversion!$F$3:$I$13,4,FALSE)),"Invalid Commodity")*(1-U162)</f>
        <v>128.95660644008328</v>
      </c>
      <c r="V163" s="29">
        <f>IFERROR(IF(OR(V$3="",V161=""),"",V161*VLOOKUP(V$3,Conversion!$F$3:$I$13,3,FALSE)/VLOOKUP(V$3,Conversion!$F$3:$I$13,4,FALSE)),"Invalid Commodity")*(1-V162)</f>
        <v>128.95660644008328</v>
      </c>
      <c r="W163" s="29">
        <f>IFERROR(IF(OR(W$3="",W161=""),"",W161*VLOOKUP(W$3,Conversion!$F$3:$I$13,3,FALSE)/VLOOKUP(W$3,Conversion!$F$3:$I$13,4,FALSE)),"Invalid Commodity")*(1-W162)</f>
        <v>100.74361739802688</v>
      </c>
      <c r="X163" s="29">
        <f>IFERROR(IF(OR(X$3="",X161=""),"",X161*VLOOKUP(X$3,Conversion!$F$3:$I$13,3,FALSE)/VLOOKUP(X$3,Conversion!$F$3:$I$13,4,FALSE)),"Invalid Commodity")*(1-X162)</f>
        <v>119.89486100766922</v>
      </c>
      <c r="Y163" s="29">
        <f>IFERROR(IF(OR(Y$3="",Y161=""),"",Y161*VLOOKUP(Y$3,Conversion!$F$3:$I$13,3,FALSE)/VLOOKUP(Y$3,Conversion!$F$3:$I$13,4,FALSE)),"Invalid Commodity")*(1-Y162)</f>
        <v>219.05595008295504</v>
      </c>
      <c r="Z163" s="29">
        <f>IFERROR(IF(OR(Z$3="",Z161=""),"",Z161*VLOOKUP(Z$3,Conversion!$F$3:$I$13,3,FALSE)/VLOOKUP(Z$3,Conversion!$F$3:$I$13,4,FALSE)),"Invalid Commodity")*(1-Z162)</f>
        <v>128.95660644008328</v>
      </c>
      <c r="AA163" s="29">
        <f>IFERROR(IF(OR(AA$3="",AA161=""),"",AA161*VLOOKUP(AA$3,Conversion!$F$3:$I$13,3,FALSE)/VLOOKUP(AA$3,Conversion!$F$3:$I$13,4,FALSE)),"Invalid Commodity")*(1-AA162)</f>
        <v>167.76299263733057</v>
      </c>
      <c r="AB163" s="26"/>
      <c r="AC163" s="105"/>
      <c r="AD163" s="105"/>
      <c r="AE163" s="105"/>
      <c r="AF163" s="99"/>
    </row>
    <row r="164" spans="1:32" x14ac:dyDescent="0.35">
      <c r="A164" s="90"/>
      <c r="B164" s="98"/>
      <c r="C164" s="186"/>
      <c r="D164" s="90"/>
      <c r="E164" s="161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26"/>
      <c r="AC164" s="105"/>
      <c r="AD164" s="105"/>
      <c r="AE164" s="105"/>
      <c r="AF164" s="99"/>
    </row>
    <row r="165" spans="1:32" s="170" customFormat="1" x14ac:dyDescent="0.35">
      <c r="A165" s="164"/>
      <c r="B165" s="165"/>
      <c r="C165" s="186"/>
      <c r="D165" s="164"/>
      <c r="E165" s="166" t="s">
        <v>306</v>
      </c>
      <c r="F165" s="167"/>
      <c r="G165" s="167"/>
      <c r="H165" s="167">
        <f t="shared" ref="H165:AA165" si="70">H163*H160</f>
        <v>111890.36247145175</v>
      </c>
      <c r="I165" s="167">
        <f t="shared" si="70"/>
        <v>58457.005699370719</v>
      </c>
      <c r="J165" s="167">
        <f t="shared" si="70"/>
        <v>55945.181235725875</v>
      </c>
      <c r="K165" s="167">
        <f t="shared" si="70"/>
        <v>56567.095755391318</v>
      </c>
      <c r="L165" s="167">
        <f t="shared" si="70"/>
        <v>53424.479324536231</v>
      </c>
      <c r="M165" s="167">
        <f t="shared" si="70"/>
        <v>13356.119831134058</v>
      </c>
      <c r="N165" s="167">
        <f t="shared" si="70"/>
        <v>21369.791729814493</v>
      </c>
      <c r="O165" s="167">
        <f t="shared" si="70"/>
        <v>64109.375189443483</v>
      </c>
      <c r="P165" s="167">
        <f t="shared" si="70"/>
        <v>56567.095755391318</v>
      </c>
      <c r="Q165" s="167">
        <f t="shared" si="70"/>
        <v>73589.601422522959</v>
      </c>
      <c r="R165" s="167">
        <f t="shared" si="70"/>
        <v>56567.095755391318</v>
      </c>
      <c r="S165" s="167">
        <f t="shared" si="70"/>
        <v>102299.75997389873</v>
      </c>
      <c r="T165" s="167">
        <f t="shared" si="70"/>
        <v>66116.566079320139</v>
      </c>
      <c r="U165" s="167">
        <f t="shared" si="70"/>
        <v>15555.951332732611</v>
      </c>
      <c r="V165" s="167">
        <f t="shared" si="70"/>
        <v>29386.606244925788</v>
      </c>
      <c r="W165" s="167">
        <f t="shared" si="70"/>
        <v>35297.1094693864</v>
      </c>
      <c r="X165" s="167">
        <f t="shared" si="70"/>
        <v>73462.8511992446</v>
      </c>
      <c r="Y165" s="167">
        <f t="shared" si="70"/>
        <v>62432.08208692792</v>
      </c>
      <c r="Z165" s="167">
        <f t="shared" si="70"/>
        <v>112200.83443081866</v>
      </c>
      <c r="AA165" s="167">
        <f t="shared" si="70"/>
        <v>42461.200020795746</v>
      </c>
      <c r="AB165" s="168">
        <f>SUM(H165:AA165)</f>
        <v>1161056.1650082238</v>
      </c>
      <c r="AC165" s="167"/>
      <c r="AD165" s="167"/>
      <c r="AE165" s="167"/>
      <c r="AF165" s="169"/>
    </row>
    <row r="166" spans="1:32" x14ac:dyDescent="0.35">
      <c r="A166" s="90"/>
      <c r="B166" s="98"/>
      <c r="C166" s="186"/>
      <c r="D166" s="90"/>
      <c r="E166" s="35"/>
      <c r="F166" s="105"/>
      <c r="G166" s="105"/>
      <c r="H166" s="105"/>
      <c r="I166" s="105"/>
      <c r="J166" s="105"/>
      <c r="K166" s="105"/>
      <c r="L166" s="171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26"/>
      <c r="AC166" s="105"/>
      <c r="AD166" s="105"/>
      <c r="AE166" s="105"/>
      <c r="AF166" s="99"/>
    </row>
    <row r="167" spans="1:32" x14ac:dyDescent="0.35">
      <c r="A167" s="90"/>
      <c r="B167" s="98"/>
      <c r="C167" s="186"/>
      <c r="D167" s="90"/>
      <c r="E167" s="35" t="s">
        <v>42</v>
      </c>
      <c r="F167" s="26"/>
      <c r="G167" s="26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26"/>
      <c r="AC167" s="26"/>
      <c r="AD167" s="26"/>
      <c r="AE167" s="26"/>
      <c r="AF167" s="99"/>
    </row>
    <row r="168" spans="1:32" x14ac:dyDescent="0.35">
      <c r="B168" s="98"/>
      <c r="C168" s="186"/>
      <c r="D168" s="90"/>
      <c r="E168" s="35" t="s">
        <v>300</v>
      </c>
      <c r="F168" s="31"/>
      <c r="G168" s="31"/>
      <c r="H168" s="26">
        <f>'2025 Checks'!L2</f>
        <v>191</v>
      </c>
      <c r="I168" s="26">
        <f>'2025 Checks'!L3</f>
        <v>400</v>
      </c>
      <c r="J168" s="26">
        <f>'2025 Checks'!L4</f>
        <v>177</v>
      </c>
      <c r="K168" s="26">
        <f>'2025 Checks'!L5</f>
        <v>478.5</v>
      </c>
      <c r="L168" s="26">
        <f>'2025 Checks'!L6</f>
        <v>538</v>
      </c>
      <c r="M168" s="26">
        <f>'2025 Checks'!L7</f>
        <v>123</v>
      </c>
      <c r="N168" s="26">
        <f>'2025 Checks'!L8</f>
        <v>173</v>
      </c>
      <c r="O168" s="26">
        <f>'2025 Checks'!L9</f>
        <v>660</v>
      </c>
      <c r="P168" s="26">
        <f>'2025 Checks'!L10</f>
        <v>390</v>
      </c>
      <c r="Q168" s="26">
        <f>'2025 Checks'!L11</f>
        <v>706</v>
      </c>
      <c r="R168" s="26">
        <f>'2025 Checks'!L12</f>
        <v>597</v>
      </c>
      <c r="S168" s="26">
        <f>'2025 Checks'!L13</f>
        <v>966</v>
      </c>
      <c r="T168" s="26">
        <f>'2025 Checks'!L14</f>
        <v>825</v>
      </c>
      <c r="U168" s="26">
        <f>'2025 Checks'!L15</f>
        <v>111</v>
      </c>
      <c r="V168" s="26">
        <f>'2025 Checks'!L16</f>
        <v>11.5</v>
      </c>
      <c r="W168" s="26">
        <f>'2025 Checks'!L17</f>
        <v>251</v>
      </c>
      <c r="X168" s="26">
        <f>'2025 Checks'!L18</f>
        <v>370</v>
      </c>
      <c r="Y168" s="26">
        <f>'2025 Checks'!L19</f>
        <v>159</v>
      </c>
      <c r="Z168" s="26">
        <f>'2025 Checks'!L20</f>
        <v>82</v>
      </c>
      <c r="AA168" s="26">
        <f>'2025 Checks'!L21</f>
        <v>16</v>
      </c>
      <c r="AB168" s="26"/>
      <c r="AC168" s="26"/>
      <c r="AD168" s="26"/>
      <c r="AE168" s="26"/>
      <c r="AF168" s="99"/>
    </row>
    <row r="169" spans="1:32" x14ac:dyDescent="0.35">
      <c r="B169" s="98"/>
      <c r="C169" s="186"/>
      <c r="D169" s="90"/>
      <c r="E169" s="35" t="s">
        <v>302</v>
      </c>
      <c r="F169" s="26"/>
      <c r="G169" s="26"/>
      <c r="H169" s="26">
        <f t="shared" ref="H169:AA169" si="71">H168/H5</f>
        <v>9.5500000000000007</v>
      </c>
      <c r="I169" s="26">
        <f t="shared" si="71"/>
        <v>40</v>
      </c>
      <c r="J169" s="26">
        <f t="shared" si="71"/>
        <v>17.7</v>
      </c>
      <c r="K169" s="26">
        <f t="shared" si="71"/>
        <v>23.925000000000001</v>
      </c>
      <c r="L169" s="26">
        <f t="shared" si="71"/>
        <v>26.9</v>
      </c>
      <c r="M169" s="26">
        <f t="shared" si="71"/>
        <v>24.6</v>
      </c>
      <c r="N169" s="26">
        <f t="shared" si="71"/>
        <v>21.625</v>
      </c>
      <c r="O169" s="26">
        <f t="shared" si="71"/>
        <v>27.5</v>
      </c>
      <c r="P169" s="26">
        <f t="shared" si="71"/>
        <v>19.5</v>
      </c>
      <c r="Q169" s="26">
        <f t="shared" si="71"/>
        <v>35.299999999999997</v>
      </c>
      <c r="R169" s="26">
        <f t="shared" si="71"/>
        <v>29.85</v>
      </c>
      <c r="S169" s="26">
        <f t="shared" si="71"/>
        <v>55.2</v>
      </c>
      <c r="T169" s="26">
        <f t="shared" si="71"/>
        <v>45.833333333333336</v>
      </c>
      <c r="U169" s="26">
        <f t="shared" si="71"/>
        <v>20.181818181818183</v>
      </c>
      <c r="V169" s="26">
        <f t="shared" si="71"/>
        <v>1.1068334937439845</v>
      </c>
      <c r="W169" s="26">
        <f t="shared" si="71"/>
        <v>26.227795193312435</v>
      </c>
      <c r="X169" s="26">
        <f t="shared" si="71"/>
        <v>18.5</v>
      </c>
      <c r="Y169" s="26">
        <f t="shared" si="71"/>
        <v>14.887640449438203</v>
      </c>
      <c r="Z169" s="26">
        <f t="shared" si="71"/>
        <v>2.0670531888076633</v>
      </c>
      <c r="AA169" s="26">
        <f t="shared" si="71"/>
        <v>1.3864818024263432</v>
      </c>
      <c r="AB169" s="26"/>
      <c r="AC169" s="26"/>
      <c r="AD169" s="90"/>
      <c r="AE169" s="26"/>
      <c r="AF169" s="99"/>
    </row>
    <row r="170" spans="1:32" x14ac:dyDescent="0.35">
      <c r="B170" s="98"/>
      <c r="C170" s="186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147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26"/>
      <c r="AC170" s="90"/>
      <c r="AD170" s="90"/>
      <c r="AE170" s="90"/>
      <c r="AF170" s="99"/>
    </row>
    <row r="171" spans="1:32" x14ac:dyDescent="0.35">
      <c r="B171" s="98"/>
      <c r="C171" s="186"/>
      <c r="D171" s="90"/>
      <c r="E171" s="35" t="s">
        <v>303</v>
      </c>
      <c r="F171" s="13"/>
      <c r="G171" s="34"/>
      <c r="H171" s="13">
        <f>'2025 Checks'!M2</f>
        <v>239.88146596858638</v>
      </c>
      <c r="I171" s="13">
        <f>'2025 Checks'!M3</f>
        <v>247.80312499999999</v>
      </c>
      <c r="J171" s="13">
        <f>'2025 Checks'!M4</f>
        <v>238.63672316384179</v>
      </c>
      <c r="K171" s="13">
        <f>'2025 Checks'!M5</f>
        <v>88.846374085684431</v>
      </c>
      <c r="L171" s="13">
        <f>'2025 Checks'!M6</f>
        <v>199.68053903345725</v>
      </c>
      <c r="M171" s="13">
        <f>'2025 Checks'!M7</f>
        <v>201.21634146341464</v>
      </c>
      <c r="N171" s="13">
        <f>'2025 Checks'!M8</f>
        <v>212.45508670520232</v>
      </c>
      <c r="O171" s="13">
        <f>'2025 Checks'!M9</f>
        <v>228.93403030303028</v>
      </c>
      <c r="P171" s="13">
        <f>'2025 Checks'!M10</f>
        <v>248.11476923076924</v>
      </c>
      <c r="Q171" s="13">
        <f>'2025 Checks'!M11</f>
        <v>225.05797450424927</v>
      </c>
      <c r="R171" s="13">
        <f>'2025 Checks'!M12</f>
        <v>251.15497487437185</v>
      </c>
      <c r="S171" s="13">
        <f>'2025 Checks'!M13</f>
        <v>222.5868530020704</v>
      </c>
      <c r="T171" s="13">
        <f>'2025 Checks'!M14</f>
        <v>117.48110303030303</v>
      </c>
      <c r="U171" s="13">
        <f>'2025 Checks'!M15</f>
        <v>188.33351351351351</v>
      </c>
      <c r="V171" s="13">
        <v>0</v>
      </c>
      <c r="W171" s="13">
        <f>'2025 Checks'!M17</f>
        <v>202.41533864541833</v>
      </c>
      <c r="X171" s="13">
        <f>'2025 Checks'!M18</f>
        <v>100.08367567567568</v>
      </c>
      <c r="Y171" s="13">
        <f>'2025 Checks'!M19</f>
        <v>236.57528301886794</v>
      </c>
      <c r="Z171" s="13">
        <f>'2025 Checks'!M20</f>
        <v>196.47878048780487</v>
      </c>
      <c r="AA171" s="13">
        <f>'2025 Checks'!M21</f>
        <v>200.95375000000001</v>
      </c>
      <c r="AB171" s="13"/>
      <c r="AC171" s="13"/>
      <c r="AD171" s="90"/>
      <c r="AE171" s="13"/>
      <c r="AF171" s="99"/>
    </row>
    <row r="172" spans="1:32" x14ac:dyDescent="0.35">
      <c r="B172" s="98"/>
      <c r="C172" s="186"/>
      <c r="D172" s="90"/>
      <c r="E172" s="35" t="s">
        <v>304</v>
      </c>
      <c r="F172" s="13"/>
      <c r="G172" s="34"/>
      <c r="H172" s="13">
        <f t="shared" ref="H172:AA172" si="72">H174/H5</f>
        <v>2290.8679999999999</v>
      </c>
      <c r="I172" s="13">
        <f t="shared" si="72"/>
        <v>9912.125</v>
      </c>
      <c r="J172" s="13">
        <f t="shared" si="72"/>
        <v>4223.87</v>
      </c>
      <c r="K172" s="13">
        <f t="shared" si="72"/>
        <v>2125.6495</v>
      </c>
      <c r="L172" s="13">
        <f t="shared" si="72"/>
        <v>5371.4065000000001</v>
      </c>
      <c r="M172" s="13">
        <f t="shared" si="72"/>
        <v>4949.9220000000005</v>
      </c>
      <c r="N172" s="13">
        <f t="shared" si="72"/>
        <v>4594.3412500000004</v>
      </c>
      <c r="O172" s="13">
        <f t="shared" si="72"/>
        <v>6295.685833333333</v>
      </c>
      <c r="P172" s="13">
        <f t="shared" si="72"/>
        <v>4838.2380000000003</v>
      </c>
      <c r="Q172" s="13">
        <f t="shared" si="72"/>
        <v>7944.5464999999995</v>
      </c>
      <c r="R172" s="13">
        <f t="shared" si="72"/>
        <v>7496.9759999999997</v>
      </c>
      <c r="S172" s="13">
        <f t="shared" si="72"/>
        <v>12286.794285714286</v>
      </c>
      <c r="T172" s="13">
        <f t="shared" si="72"/>
        <v>5384.5505555555555</v>
      </c>
      <c r="U172" s="13">
        <f t="shared" si="72"/>
        <v>3800.9127272727274</v>
      </c>
      <c r="V172" s="13">
        <f t="shared" si="72"/>
        <v>0</v>
      </c>
      <c r="W172" s="13">
        <f t="shared" si="72"/>
        <v>5308.9080459770112</v>
      </c>
      <c r="X172" s="13">
        <f t="shared" si="72"/>
        <v>1851.548</v>
      </c>
      <c r="Y172" s="13">
        <f t="shared" si="72"/>
        <v>3522.0477528089891</v>
      </c>
      <c r="Z172" s="13">
        <f t="shared" si="72"/>
        <v>406.13208974035791</v>
      </c>
      <c r="AA172" s="13">
        <f t="shared" si="72"/>
        <v>278.61871750433278</v>
      </c>
      <c r="AB172" s="13"/>
      <c r="AC172" s="13"/>
      <c r="AD172" s="90"/>
      <c r="AE172" s="13"/>
      <c r="AF172" s="99"/>
    </row>
    <row r="173" spans="1:32" x14ac:dyDescent="0.35">
      <c r="B173" s="98"/>
      <c r="C173" s="186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9"/>
    </row>
    <row r="174" spans="1:32" x14ac:dyDescent="0.35">
      <c r="B174" s="98"/>
      <c r="C174" s="186"/>
      <c r="D174" s="90"/>
      <c r="E174" s="101" t="s">
        <v>48</v>
      </c>
      <c r="F174" s="27"/>
      <c r="G174" s="120"/>
      <c r="H174" s="139">
        <f>H171*H168</f>
        <v>45817.36</v>
      </c>
      <c r="I174" s="139">
        <f t="shared" ref="I174:Z174" si="73">I171*I168</f>
        <v>99121.25</v>
      </c>
      <c r="J174" s="139">
        <f t="shared" si="73"/>
        <v>42238.7</v>
      </c>
      <c r="K174" s="139">
        <f t="shared" si="73"/>
        <v>42512.99</v>
      </c>
      <c r="L174" s="78">
        <f t="shared" si="73"/>
        <v>107428.13</v>
      </c>
      <c r="M174" s="78">
        <f t="shared" si="73"/>
        <v>24749.61</v>
      </c>
      <c r="N174" s="78">
        <f>N171*N168</f>
        <v>36754.730000000003</v>
      </c>
      <c r="O174" s="78">
        <f>O171*O168</f>
        <v>151096.46</v>
      </c>
      <c r="P174" s="78">
        <f t="shared" si="73"/>
        <v>96764.760000000009</v>
      </c>
      <c r="Q174" s="78">
        <f t="shared" si="73"/>
        <v>158890.93</v>
      </c>
      <c r="R174" s="78">
        <f t="shared" si="73"/>
        <v>149939.51999999999</v>
      </c>
      <c r="S174" s="78">
        <f t="shared" si="73"/>
        <v>215018.9</v>
      </c>
      <c r="T174" s="78">
        <f t="shared" si="73"/>
        <v>96921.91</v>
      </c>
      <c r="U174" s="78">
        <f t="shared" si="73"/>
        <v>20905.02</v>
      </c>
      <c r="V174" s="78">
        <f t="shared" si="73"/>
        <v>0</v>
      </c>
      <c r="W174" s="78">
        <f>W171*W168</f>
        <v>50806.25</v>
      </c>
      <c r="X174" s="78">
        <f>X171*X168</f>
        <v>37030.959999999999</v>
      </c>
      <c r="Y174" s="78">
        <f>Y171*Y168</f>
        <v>37615.47</v>
      </c>
      <c r="Z174" s="78">
        <f t="shared" si="73"/>
        <v>16111.259999999998</v>
      </c>
      <c r="AA174" s="78">
        <f>AA171*AA168</f>
        <v>3215.26</v>
      </c>
      <c r="AB174" s="78">
        <f>SUM(F174:AA174)</f>
        <v>1432939.4699999997</v>
      </c>
      <c r="AC174" s="78">
        <f>'2024 Checks'!N31+'2024 Checks'!N32</f>
        <v>0</v>
      </c>
      <c r="AD174" s="79">
        <v>0</v>
      </c>
      <c r="AE174" s="78">
        <f>SUM(AB174:AD174)</f>
        <v>1432939.4699999997</v>
      </c>
      <c r="AF174" s="99"/>
    </row>
    <row r="175" spans="1:32" ht="15" thickBot="1" x14ac:dyDescent="0.4">
      <c r="B175" s="102"/>
      <c r="C175" s="103"/>
      <c r="D175" s="103"/>
      <c r="E175" s="103"/>
      <c r="F175" s="103"/>
      <c r="G175" s="103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03"/>
      <c r="AC175" s="103"/>
      <c r="AD175" s="103"/>
      <c r="AE175" s="103"/>
      <c r="AF175" s="104"/>
    </row>
    <row r="176" spans="1:32" x14ac:dyDescent="0.35">
      <c r="X176" s="172">
        <f>X172/T172</f>
        <v>0.34386305428772501</v>
      </c>
      <c r="Y176" s="172">
        <f>Y172/S172</f>
        <v>0.28665310665321658</v>
      </c>
      <c r="Z176" s="172">
        <f>Z172/U172</f>
        <v>0.10685120098292029</v>
      </c>
      <c r="AA176" s="172">
        <f>AA172/Q172</f>
        <v>3.5070436997798778E-2</v>
      </c>
    </row>
    <row r="177" spans="1:32" s="176" customFormat="1" ht="15" thickBot="1" x14ac:dyDescent="0.4">
      <c r="A177" s="141"/>
      <c r="B177" s="141"/>
      <c r="C177" s="141"/>
      <c r="D177" s="141"/>
      <c r="E177" s="141"/>
      <c r="F177" s="141"/>
      <c r="G177" s="141"/>
      <c r="H177" s="174"/>
      <c r="I177" s="174">
        <v>425</v>
      </c>
      <c r="J177" s="174"/>
      <c r="K177" s="174"/>
      <c r="L177" s="174"/>
      <c r="M177" s="174"/>
      <c r="N177" s="174"/>
      <c r="O177" s="174"/>
      <c r="P177" s="174">
        <v>941</v>
      </c>
      <c r="Q177" s="174">
        <v>748</v>
      </c>
      <c r="R177" s="174">
        <v>627</v>
      </c>
      <c r="S177" s="174">
        <v>875</v>
      </c>
      <c r="T177" s="174">
        <v>791</v>
      </c>
      <c r="U177" s="174"/>
      <c r="V177" s="174"/>
      <c r="W177" s="174"/>
      <c r="X177" s="174"/>
      <c r="Y177" s="174"/>
      <c r="Z177" s="174"/>
      <c r="AA177" s="174"/>
      <c r="AB177" s="175"/>
      <c r="AC177" s="175"/>
      <c r="AD177" s="175"/>
      <c r="AE177" s="175"/>
      <c r="AF177" s="175"/>
    </row>
    <row r="178" spans="1:32" x14ac:dyDescent="0.35">
      <c r="A178" s="90"/>
      <c r="B178" s="93"/>
      <c r="C178" s="94"/>
      <c r="D178" s="94"/>
      <c r="E178" s="94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97"/>
    </row>
    <row r="179" spans="1:32" x14ac:dyDescent="0.35">
      <c r="A179" s="90"/>
      <c r="B179" s="98"/>
      <c r="C179" s="186" t="s">
        <v>294</v>
      </c>
      <c r="D179" s="90"/>
      <c r="E179" s="1" t="s">
        <v>308</v>
      </c>
      <c r="F179" s="105"/>
      <c r="G179" s="105"/>
      <c r="H179" s="105">
        <v>864</v>
      </c>
      <c r="I179" s="105">
        <v>864</v>
      </c>
      <c r="J179" s="105">
        <v>864</v>
      </c>
      <c r="K179" s="105">
        <v>530</v>
      </c>
      <c r="L179" s="105">
        <v>530</v>
      </c>
      <c r="M179" s="105">
        <v>530</v>
      </c>
      <c r="N179" s="105">
        <v>530</v>
      </c>
      <c r="O179" s="105">
        <v>530</v>
      </c>
      <c r="P179" s="105">
        <v>530</v>
      </c>
      <c r="Q179" s="105">
        <v>530</v>
      </c>
      <c r="R179" s="105">
        <v>530</v>
      </c>
      <c r="S179" s="105">
        <v>864</v>
      </c>
      <c r="T179" s="105">
        <v>664</v>
      </c>
      <c r="U179" s="105">
        <v>530</v>
      </c>
      <c r="V179" s="105">
        <v>530</v>
      </c>
      <c r="W179" s="105">
        <v>929</v>
      </c>
      <c r="X179" s="105">
        <v>664</v>
      </c>
      <c r="Y179" s="105">
        <v>864</v>
      </c>
      <c r="Z179" s="105">
        <v>530</v>
      </c>
      <c r="AA179" s="105">
        <v>530</v>
      </c>
      <c r="AB179" s="26"/>
      <c r="AC179" s="105"/>
      <c r="AD179" s="105"/>
      <c r="AE179" s="105"/>
      <c r="AF179" s="99"/>
    </row>
    <row r="180" spans="1:32" s="146" customFormat="1" x14ac:dyDescent="0.35">
      <c r="A180" s="141"/>
      <c r="B180" s="142"/>
      <c r="C180" s="186"/>
      <c r="D180" s="141"/>
      <c r="E180" s="143" t="s">
        <v>342</v>
      </c>
      <c r="F180" s="144"/>
      <c r="G180" s="144"/>
      <c r="H180" s="144">
        <f>IFERROR(IF(OR(H$3="",H179=""),"",H179*VLOOKUP(H$3,Conversion!$F$3:$I$13,4,FALSE)/VLOOKUP(H$3,Conversion!$F$3:$I$13,3,FALSE)),"Invalid Commodity")*H$5</f>
        <v>497.98270893371756</v>
      </c>
      <c r="I180" s="183">
        <f>'2026 Checks'!J41</f>
        <v>425</v>
      </c>
      <c r="J180" s="144">
        <f>IFERROR(IF(OR(J3="",J179=""),"",J179*VLOOKUP(J3,Conversion!$F$3:$I$13,4,FALSE)/VLOOKUP(J3,Conversion!$F$3:$I$13,3,FALSE)),"Invalid Commodity")*J5</f>
        <v>248.99135446685878</v>
      </c>
      <c r="K180" s="144">
        <f>IFERROR(IF(OR(K3="",K179=""),"",K179*VLOOKUP(K3,Conversion!$F$3:$I$13,4,FALSE)/VLOOKUP(K3,Conversion!$F$3:$I$13,3,FALSE)),"Invalid Commodity")*K5</f>
        <v>437.82608695652175</v>
      </c>
      <c r="L180" s="144">
        <f>IFERROR(IF(OR(L3="",L179=""),"",L179*VLOOKUP(L3,Conversion!$F$3:$I$13,4,FALSE)/VLOOKUP(L3,Conversion!$F$3:$I$13,3,FALSE)),"Invalid Commodity")*L5</f>
        <v>434.05172413793105</v>
      </c>
      <c r="M180" s="144">
        <f>IFERROR(IF(OR(M3="",M179=""),"",M179*VLOOKUP(M3,Conversion!$F$3:$I$13,4,FALSE)/VLOOKUP(M3,Conversion!$F$3:$I$13,3,FALSE)),"Invalid Commodity")*M5</f>
        <v>108.51293103448276</v>
      </c>
      <c r="N180" s="144">
        <f>IFERROR(IF(OR(N3="",N179=""),"",N179*VLOOKUP(N3,Conversion!$F$3:$I$13,4,FALSE)/VLOOKUP(N3,Conversion!$F$3:$I$13,3,FALSE)),"Invalid Commodity")*N5</f>
        <v>173.62068965517241</v>
      </c>
      <c r="O180" s="144">
        <f>IFERROR(IF(OR(O3="",O179=""),"",O179*VLOOKUP(O3,Conversion!$F$3:$I$13,4,FALSE)/VLOOKUP(O3,Conversion!$F$3:$I$13,3,FALSE)),"Invalid Commodity")*O5</f>
        <v>520.86206896551721</v>
      </c>
      <c r="P180" s="183">
        <f>'2026 Checks'!J45</f>
        <v>941</v>
      </c>
      <c r="Q180" s="183">
        <f>'2026 Checks'!J47</f>
        <v>748</v>
      </c>
      <c r="R180" s="183">
        <f>'2026 Checks'!J46</f>
        <v>627</v>
      </c>
      <c r="S180" s="183">
        <f>'2026 Checks'!J42</f>
        <v>875</v>
      </c>
      <c r="T180" s="183">
        <f>'2026 Checks'!J44</f>
        <v>791</v>
      </c>
      <c r="U180" s="144">
        <f>IFERROR(IF(OR(U3="",U179=""),"",U179*VLOOKUP(U3,Conversion!$F$3:$I$13,4,FALSE)/VLOOKUP(U3,Conversion!$F$3:$I$13,3,FALSE)),"Invalid Commodity")*U5</f>
        <v>120.40217391304347</v>
      </c>
      <c r="V180" s="144">
        <f>IFERROR(IF(OR(V3="",V179=""),"",V179*VLOOKUP(V3,Conversion!$F$3:$I$13,4,FALSE)/VLOOKUP(V3,Conversion!$F$3:$I$13,3,FALSE)),"Invalid Commodity")*V5</f>
        <v>227.45065217391306</v>
      </c>
      <c r="W180" s="144">
        <f>IFERROR(IF(OR(W3="",W179=""),"",W179*VLOOKUP(W3,Conversion!$F$3:$I$13,4,FALSE)/VLOOKUP(W3,Conversion!$F$3:$I$13,3,FALSE)),"Invalid Commodity")*W5</f>
        <v>350.36571428571426</v>
      </c>
      <c r="X180" s="183">
        <f>'2026 Checks'!J43</f>
        <v>470</v>
      </c>
      <c r="Y180" s="144">
        <f>IFERROR(IF(OR(Y3="",Y179=""),"",Y179*VLOOKUP(Y3,Conversion!$F$3:$I$13,4,FALSE)/VLOOKUP(Y3,Conversion!$F$3:$I$13,3,FALSE)),"Invalid Commodity")*Y5</f>
        <v>265.92276657060518</v>
      </c>
      <c r="Z180" s="144">
        <f>IFERROR(IF(OR(Z3="",Z179=""),"",Z179*VLOOKUP(Z3,Conversion!$F$3:$I$13,4,FALSE)/VLOOKUP(Z3,Conversion!$F$3:$I$13,3,FALSE)),"Invalid Commodity")*Z5</f>
        <v>868.42804347826086</v>
      </c>
      <c r="AA180" s="183">
        <f>'2026 Checks'!J48</f>
        <v>90</v>
      </c>
      <c r="AB180" s="112"/>
      <c r="AC180" s="144"/>
      <c r="AD180" s="144"/>
      <c r="AE180" s="144"/>
      <c r="AF180" s="145"/>
    </row>
    <row r="181" spans="1:32" s="152" customFormat="1" x14ac:dyDescent="0.35">
      <c r="A181" s="147"/>
      <c r="B181" s="148"/>
      <c r="C181" s="186"/>
      <c r="D181" s="147"/>
      <c r="E181" s="149" t="s">
        <v>307</v>
      </c>
      <c r="F181" s="14"/>
      <c r="G181" s="14"/>
      <c r="H181" s="14">
        <v>15.7</v>
      </c>
      <c r="I181" s="14">
        <v>16.399999999999999</v>
      </c>
      <c r="J181" s="14">
        <v>15.7</v>
      </c>
      <c r="K181" s="14">
        <v>11.25</v>
      </c>
      <c r="L181" s="14">
        <v>10.45</v>
      </c>
      <c r="M181" s="14">
        <v>10.45</v>
      </c>
      <c r="N181" s="14">
        <v>10.45</v>
      </c>
      <c r="O181" s="14">
        <v>10.45</v>
      </c>
      <c r="P181" s="14">
        <v>11.25</v>
      </c>
      <c r="Q181" s="14">
        <v>14.65</v>
      </c>
      <c r="R181" s="14">
        <v>11.25</v>
      </c>
      <c r="S181" s="14">
        <v>16.399999999999999</v>
      </c>
      <c r="T181" s="14">
        <v>9.5500000000000007</v>
      </c>
      <c r="U181" s="14">
        <v>11.25</v>
      </c>
      <c r="V181" s="14">
        <v>11.25</v>
      </c>
      <c r="W181" s="14">
        <v>7.35</v>
      </c>
      <c r="X181" s="14">
        <v>9.5500000000000007</v>
      </c>
      <c r="Y181" s="14">
        <v>16.399999999999999</v>
      </c>
      <c r="Z181" s="14">
        <v>11.25</v>
      </c>
      <c r="AA181" s="14">
        <v>14.65</v>
      </c>
      <c r="AB181" s="150"/>
      <c r="AC181" s="14"/>
      <c r="AD181" s="14"/>
      <c r="AE181" s="14"/>
      <c r="AF181" s="151"/>
    </row>
    <row r="182" spans="1:32" s="159" customFormat="1" x14ac:dyDescent="0.35">
      <c r="A182" s="153"/>
      <c r="B182" s="154"/>
      <c r="C182" s="186"/>
      <c r="D182" s="153"/>
      <c r="E182" s="155" t="s">
        <v>310</v>
      </c>
      <c r="F182" s="156"/>
      <c r="G182" s="156"/>
      <c r="H182" s="156">
        <f>47082.37/92899.73</f>
        <v>0.50680846973398097</v>
      </c>
      <c r="I182" s="156">
        <f>110627.81/209749.06</f>
        <v>0.52742934819350318</v>
      </c>
      <c r="J182" s="156">
        <f>43372.51/85611.21</f>
        <v>0.50662185477813004</v>
      </c>
      <c r="K182" s="156">
        <f>79627.35/122140.34</f>
        <v>0.65193325972401917</v>
      </c>
      <c r="L182" s="156">
        <f>95783.91/203212.04</f>
        <v>0.47134958145196515</v>
      </c>
      <c r="M182" s="156">
        <f>22401.12/47150.73</f>
        <v>0.47509593170667763</v>
      </c>
      <c r="N182" s="156">
        <f>29558.47/66313.2</f>
        <v>0.44574036541744333</v>
      </c>
      <c r="O182" s="156">
        <f>115462.85/266559.31</f>
        <v>0.43316007233061943</v>
      </c>
      <c r="P182" s="156">
        <f>53990.87/150755.63</f>
        <v>0.35813501625113436</v>
      </c>
      <c r="Q182" s="156">
        <f>103623.63/262514.56</f>
        <v>0.39473479109120652</v>
      </c>
      <c r="R182" s="156">
        <f>29190.43/82923.66</f>
        <v>0.35201569732932675</v>
      </c>
      <c r="S182" s="156">
        <f>254440.63/469459.53</f>
        <v>0.54198629219434524</v>
      </c>
      <c r="T182" s="156">
        <f>132930.24/229852.15</f>
        <v>0.57832933039782308</v>
      </c>
      <c r="U182" s="156">
        <f>16053.24/36958.26</f>
        <v>0.43436135792107095</v>
      </c>
      <c r="V182" s="156">
        <f>U182</f>
        <v>0.43436135792107095</v>
      </c>
      <c r="W182" s="156">
        <f>42778.43/93584.68</f>
        <v>0.45710932601361681</v>
      </c>
      <c r="X182" s="156">
        <f>58922.13/95953.09</f>
        <v>0.61407225134698629</v>
      </c>
      <c r="Y182" s="156">
        <f>42863.66/80479.13</f>
        <v>0.53260590664933882</v>
      </c>
      <c r="Z182" s="156">
        <f>10945.45/27056.71</f>
        <v>0.40453735875500019</v>
      </c>
      <c r="AA182" s="156">
        <f>2133.74/5349</f>
        <v>0.39890446812488312</v>
      </c>
      <c r="AB182" s="157"/>
      <c r="AC182" s="156"/>
      <c r="AD182" s="156"/>
      <c r="AE182" s="156"/>
      <c r="AF182" s="158"/>
    </row>
    <row r="183" spans="1:32" s="163" customFormat="1" x14ac:dyDescent="0.35">
      <c r="A183" s="107"/>
      <c r="B183" s="160"/>
      <c r="C183" s="186"/>
      <c r="D183" s="107"/>
      <c r="E183" s="161" t="s">
        <v>301</v>
      </c>
      <c r="F183" s="29"/>
      <c r="G183" s="29"/>
      <c r="H183" s="29">
        <f>IFERROR(IF(OR(H$3="",H181=""),"",H181*VLOOKUP(H$3,Conversion!$F$3:$I$13,3,FALSE)/VLOOKUP(H$3,Conversion!$F$3:$I$13,4,FALSE)),"Invalid Commodity")*(1-H182)</f>
        <v>268.68581377362449</v>
      </c>
      <c r="I183" s="184">
        <v>215</v>
      </c>
      <c r="J183" s="29">
        <f>IFERROR(IF(OR(J$3="",J181=""),"",J181*VLOOKUP(J$3,Conversion!$F$3:$I$13,3,FALSE)/VLOOKUP(J$3,Conversion!$F$3:$I$13,4,FALSE)),"Invalid Commodity")*(1-J182)</f>
        <v>268.78747973542249</v>
      </c>
      <c r="K183" s="29">
        <f>IFERROR(IF(OR(K$3="",K181=""),"",K181*VLOOKUP(K$3,Conversion!$F$3:$I$13,3,FALSE)/VLOOKUP(K$3,Conversion!$F$3:$I$13,4,FALSE)),"Invalid Commodity")*(1-K182)</f>
        <v>94.802388469905296</v>
      </c>
      <c r="L183" s="29">
        <f>IFERROR(IF(OR(L$3="",L181=""),"",L181*VLOOKUP(L$3,Conversion!$F$3:$I$13,3,FALSE)/VLOOKUP(L$3,Conversion!$F$3:$I$13,4,FALSE)),"Invalid Commodity")*(1-L182)*1.6</f>
        <v>215.85853890153359</v>
      </c>
      <c r="M183" s="29">
        <f>IFERROR(IF(OR(M$3="",M181=""),"",M181*VLOOKUP(M$3,Conversion!$F$3:$I$13,3,FALSE)/VLOOKUP(M$3,Conversion!$F$3:$I$13,4,FALSE)),"Invalid Commodity")*(1-M182)*1.6</f>
        <v>214.32882916552936</v>
      </c>
      <c r="N183" s="29">
        <f>IFERROR(IF(OR(N$3="",N181=""),"",N181*VLOOKUP(N$3,Conversion!$F$3:$I$13,3,FALSE)/VLOOKUP(N$3,Conversion!$F$3:$I$13,4,FALSE)),"Invalid Commodity")*(1-N182)*1.6</f>
        <v>226.3152939927495</v>
      </c>
      <c r="O183" s="29">
        <f>IFERROR(IF(OR(O$3="",O181=""),"",O181*VLOOKUP(O$3,Conversion!$F$3:$I$13,3,FALSE)/VLOOKUP(O$3,Conversion!$F$3:$I$13,4,FALSE)),"Invalid Commodity")*(1-O182)*1.6</f>
        <v>231.4520792659614</v>
      </c>
      <c r="P183" s="184">
        <f>IFERROR(IF(OR(P$3="",P181=""),"",P181*VLOOKUP(P$3,Conversion!$F$3:$I$13,3,FALSE)/VLOOKUP(P$3,Conversion!$F$3:$I$13,4,FALSE)),"Invalid Commodity")*(1-P182)</f>
        <v>174.82375215265156</v>
      </c>
      <c r="Q183" s="184">
        <v>175</v>
      </c>
      <c r="R183" s="184">
        <v>175</v>
      </c>
      <c r="S183" s="184">
        <v>215</v>
      </c>
      <c r="T183" s="184">
        <v>140</v>
      </c>
      <c r="U183" s="29">
        <f>IFERROR(IF(OR(U$3="",U181=""),"",U181*VLOOKUP(U$3,Conversion!$F$3:$I$13,3,FALSE)/VLOOKUP(U$3,Conversion!$F$3:$I$13,4,FALSE)),"Invalid Commodity")*(1-U182)</f>
        <v>154.0621038293925</v>
      </c>
      <c r="V183" s="29">
        <f>IFERROR(IF(OR(V$3="",V181=""),"",V181*VLOOKUP(V$3,Conversion!$F$3:$I$13,3,FALSE)/VLOOKUP(V$3,Conversion!$F$3:$I$13,4,FALSE)),"Invalid Commodity")*(1-V182)</f>
        <v>154.0621038293925</v>
      </c>
      <c r="W183" s="29">
        <f>IFERROR(IF(OR(W$3="",W181=""),"",W181*VLOOKUP(W$3,Conversion!$F$3:$I$13,3,FALSE)/VLOOKUP(W$3,Conversion!$F$3:$I$13,4,FALSE)),"Invalid Commodity")*(1-W182)</f>
        <v>101.25250376517289</v>
      </c>
      <c r="X183" s="184">
        <v>140</v>
      </c>
      <c r="Y183" s="184">
        <v>215</v>
      </c>
      <c r="Z183" s="29">
        <f>IFERROR(IF(OR(Z$3="",Z181=""),"",Z181*VLOOKUP(Z$3,Conversion!$F$3:$I$13,3,FALSE)/VLOOKUP(Z$3,Conversion!$F$3:$I$13,4,FALSE)),"Invalid Commodity")*(1-Z182)</f>
        <v>162.18521939173021</v>
      </c>
      <c r="AA183" s="184">
        <v>175</v>
      </c>
      <c r="AB183" s="29"/>
      <c r="AC183" s="29"/>
      <c r="AD183" s="29"/>
      <c r="AE183" s="29"/>
      <c r="AF183" s="162"/>
    </row>
    <row r="184" spans="1:32" x14ac:dyDescent="0.35">
      <c r="A184" s="90"/>
      <c r="B184" s="98"/>
      <c r="C184" s="186"/>
      <c r="D184" s="90"/>
      <c r="E184" s="35"/>
      <c r="F184" s="26"/>
      <c r="G184" s="26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26"/>
      <c r="AC184" s="26"/>
      <c r="AD184" s="26"/>
      <c r="AE184" s="26"/>
      <c r="AF184" s="99"/>
    </row>
    <row r="185" spans="1:32" s="152" customFormat="1" x14ac:dyDescent="0.35">
      <c r="A185" s="147"/>
      <c r="B185" s="148"/>
      <c r="C185" s="186"/>
      <c r="D185" s="147"/>
      <c r="E185" s="149" t="s">
        <v>306</v>
      </c>
      <c r="F185" s="150"/>
      <c r="G185" s="150"/>
      <c r="H185" s="150">
        <f t="shared" ref="H185:Z185" si="74">H183*H180</f>
        <v>133800.88939504989</v>
      </c>
      <c r="I185" s="150">
        <f t="shared" si="74"/>
        <v>91375</v>
      </c>
      <c r="J185" s="150">
        <f t="shared" si="74"/>
        <v>66925.758643056208</v>
      </c>
      <c r="K185" s="150">
        <f t="shared" si="74"/>
        <v>41506.95877791071</v>
      </c>
      <c r="L185" s="150">
        <f t="shared" si="74"/>
        <v>93693.770980105313</v>
      </c>
      <c r="M185" s="150">
        <f t="shared" si="74"/>
        <v>23257.449457940525</v>
      </c>
      <c r="N185" s="150">
        <f t="shared" si="74"/>
        <v>39293.017422534263</v>
      </c>
      <c r="O185" s="150">
        <f t="shared" si="74"/>
        <v>120554.60887283954</v>
      </c>
      <c r="P185" s="150">
        <f t="shared" si="74"/>
        <v>164509.15077564513</v>
      </c>
      <c r="Q185" s="150">
        <f t="shared" si="74"/>
        <v>130900</v>
      </c>
      <c r="R185" s="150">
        <f t="shared" si="74"/>
        <v>109725</v>
      </c>
      <c r="S185" s="150">
        <f t="shared" si="74"/>
        <v>188125</v>
      </c>
      <c r="T185" s="150">
        <f t="shared" si="74"/>
        <v>110740</v>
      </c>
      <c r="U185" s="150">
        <f t="shared" si="74"/>
        <v>18549.412218675876</v>
      </c>
      <c r="V185" s="150">
        <f t="shared" si="74"/>
        <v>35041.525991280432</v>
      </c>
      <c r="W185" s="150">
        <f t="shared" si="74"/>
        <v>35475.405804901769</v>
      </c>
      <c r="X185" s="150">
        <f t="shared" si="74"/>
        <v>65800</v>
      </c>
      <c r="Y185" s="150">
        <f t="shared" si="74"/>
        <v>57173.394812680111</v>
      </c>
      <c r="Z185" s="150">
        <f t="shared" si="74"/>
        <v>140846.19275745275</v>
      </c>
      <c r="AA185" s="150">
        <f>AA183*AA180</f>
        <v>15750</v>
      </c>
      <c r="AB185" s="150">
        <f>SUM(H185:AA185)</f>
        <v>1683042.5359100727</v>
      </c>
      <c r="AC185" s="150"/>
      <c r="AD185" s="150"/>
      <c r="AE185" s="150"/>
      <c r="AF185" s="151"/>
    </row>
    <row r="186" spans="1:32" s="152" customFormat="1" x14ac:dyDescent="0.35">
      <c r="A186" s="147"/>
      <c r="B186" s="148"/>
      <c r="C186" s="186"/>
      <c r="D186" s="147"/>
      <c r="E186" s="149" t="s">
        <v>311</v>
      </c>
      <c r="F186" s="150"/>
      <c r="G186" s="150"/>
      <c r="H186" s="150">
        <f>H185</f>
        <v>133800.88939504989</v>
      </c>
      <c r="I186" s="150">
        <f t="shared" ref="I186:U186" si="75">I185</f>
        <v>91375</v>
      </c>
      <c r="J186" s="150">
        <f t="shared" si="75"/>
        <v>66925.758643056208</v>
      </c>
      <c r="K186" s="150">
        <f t="shared" si="75"/>
        <v>41506.95877791071</v>
      </c>
      <c r="L186" s="150">
        <f t="shared" si="75"/>
        <v>93693.770980105313</v>
      </c>
      <c r="M186" s="150">
        <f t="shared" si="75"/>
        <v>23257.449457940525</v>
      </c>
      <c r="N186" s="150">
        <f t="shared" si="75"/>
        <v>39293.017422534263</v>
      </c>
      <c r="O186" s="150">
        <f t="shared" si="75"/>
        <v>120554.60887283954</v>
      </c>
      <c r="P186" s="150">
        <f t="shared" si="75"/>
        <v>164509.15077564513</v>
      </c>
      <c r="Q186" s="150">
        <f t="shared" si="75"/>
        <v>130900</v>
      </c>
      <c r="R186" s="150">
        <f t="shared" si="75"/>
        <v>109725</v>
      </c>
      <c r="S186" s="150">
        <f t="shared" si="75"/>
        <v>188125</v>
      </c>
      <c r="T186" s="150">
        <f t="shared" si="75"/>
        <v>110740</v>
      </c>
      <c r="U186" s="150">
        <f t="shared" si="75"/>
        <v>18549.412218675876</v>
      </c>
      <c r="V186" s="150">
        <f>V185*0.3</f>
        <v>10512.45779738413</v>
      </c>
      <c r="W186" s="150">
        <f>W185*0.6</f>
        <v>21285.243482941059</v>
      </c>
      <c r="X186" s="150">
        <f>X185*0.5</f>
        <v>32900</v>
      </c>
      <c r="Y186" s="150">
        <f>Y185*0.45</f>
        <v>25728.027665706049</v>
      </c>
      <c r="Z186" s="150">
        <f>Z185*0.3</f>
        <v>42253.857827235821</v>
      </c>
      <c r="AA186" s="150">
        <f>AA185</f>
        <v>15750</v>
      </c>
      <c r="AB186" s="150">
        <f>SUM(H186:AA186)</f>
        <v>1481385.6033170247</v>
      </c>
      <c r="AC186" s="150"/>
      <c r="AD186" s="150"/>
      <c r="AE186" s="150"/>
      <c r="AF186" s="151"/>
    </row>
    <row r="187" spans="1:32" x14ac:dyDescent="0.35">
      <c r="A187" s="90"/>
      <c r="B187" s="98"/>
      <c r="C187" s="186"/>
      <c r="D187" s="90"/>
      <c r="E187" s="35"/>
      <c r="F187" s="26"/>
      <c r="G187" s="26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26"/>
      <c r="AC187" s="26"/>
      <c r="AD187" s="26"/>
      <c r="AE187" s="26"/>
      <c r="AF187" s="99"/>
    </row>
    <row r="188" spans="1:32" x14ac:dyDescent="0.35">
      <c r="B188" s="98"/>
      <c r="C188" s="186"/>
      <c r="D188" s="90"/>
      <c r="E188" s="35" t="s">
        <v>300</v>
      </c>
      <c r="F188" s="31"/>
      <c r="G188" s="31"/>
      <c r="H188" s="26">
        <f>'2026 Checks'!K2</f>
        <v>566</v>
      </c>
      <c r="J188" s="26">
        <f>'2026 Checks'!K4</f>
        <v>428</v>
      </c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99"/>
    </row>
    <row r="189" spans="1:32" x14ac:dyDescent="0.35">
      <c r="B189" s="98"/>
      <c r="C189" s="186"/>
      <c r="D189" s="90"/>
      <c r="E189" s="35" t="s">
        <v>302</v>
      </c>
      <c r="F189" s="26"/>
      <c r="G189" s="26"/>
      <c r="H189" s="26">
        <f>H188/H5</f>
        <v>28.3</v>
      </c>
      <c r="J189" s="26">
        <f>J188/I5</f>
        <v>42.8</v>
      </c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90"/>
      <c r="AE189" s="26"/>
      <c r="AF189" s="99"/>
    </row>
    <row r="190" spans="1:32" x14ac:dyDescent="0.35">
      <c r="B190" s="98"/>
      <c r="C190" s="186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26"/>
      <c r="AC190" s="90"/>
      <c r="AD190" s="90"/>
      <c r="AE190" s="90"/>
      <c r="AF190" s="99"/>
    </row>
    <row r="191" spans="1:32" x14ac:dyDescent="0.35">
      <c r="B191" s="98"/>
      <c r="C191" s="186"/>
      <c r="D191" s="90"/>
      <c r="E191" s="35" t="s">
        <v>303</v>
      </c>
      <c r="F191" s="13"/>
      <c r="G191" s="34"/>
      <c r="H191" s="13">
        <f>'2026 Checks'!L2</f>
        <v>139.55199646643109</v>
      </c>
      <c r="I191" s="13"/>
      <c r="J191" s="13">
        <f>'2026 Checks'!L4</f>
        <v>155.25070093457944</v>
      </c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90"/>
      <c r="AE191" s="13"/>
      <c r="AF191" s="99"/>
    </row>
    <row r="192" spans="1:32" x14ac:dyDescent="0.35">
      <c r="B192" s="98"/>
      <c r="C192" s="186"/>
      <c r="D192" s="90"/>
      <c r="E192" s="35" t="s">
        <v>304</v>
      </c>
      <c r="F192" s="13"/>
      <c r="G192" s="34"/>
      <c r="H192" s="13">
        <f>H194/H5</f>
        <v>3949.3214999999996</v>
      </c>
      <c r="I192" s="13"/>
      <c r="J192" s="13">
        <f>J194/J5</f>
        <v>6644.7300000000005</v>
      </c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90"/>
      <c r="AE192" s="13"/>
      <c r="AF192" s="99"/>
    </row>
    <row r="193" spans="2:32" x14ac:dyDescent="0.35">
      <c r="B193" s="98"/>
      <c r="C193" s="186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9"/>
    </row>
    <row r="194" spans="2:32" x14ac:dyDescent="0.35">
      <c r="B194" s="98"/>
      <c r="C194" s="186"/>
      <c r="D194" s="90"/>
      <c r="E194" s="101" t="s">
        <v>305</v>
      </c>
      <c r="F194" s="27"/>
      <c r="G194" s="120"/>
      <c r="H194" s="139">
        <f>'2026 Checks'!J2</f>
        <v>78986.429999999993</v>
      </c>
      <c r="I194" s="139">
        <f>'2026 Checks'!J3</f>
        <v>39300</v>
      </c>
      <c r="J194" s="139">
        <f>'2026 Checks'!J4</f>
        <v>66447.3</v>
      </c>
      <c r="K194" s="139">
        <f>'2026 Checks'!J5</f>
        <v>0</v>
      </c>
      <c r="L194" s="78">
        <f>'2026 Checks'!J6</f>
        <v>0</v>
      </c>
      <c r="M194" s="78">
        <f>'2026 Checks'!J7</f>
        <v>0</v>
      </c>
      <c r="N194" s="78">
        <f>'2026 Checks'!J8</f>
        <v>0</v>
      </c>
      <c r="O194" s="78">
        <f>'2026 Checks'!J9</f>
        <v>0</v>
      </c>
      <c r="P194" s="78">
        <f>'2026 Checks'!J10</f>
        <v>0</v>
      </c>
      <c r="Q194" s="78">
        <f>'2026 Checks'!J11</f>
        <v>43500</v>
      </c>
      <c r="R194" s="78">
        <f>'2026 Checks'!J12</f>
        <v>0</v>
      </c>
      <c r="S194" s="78">
        <f>'2026 Checks'!J13</f>
        <v>86150</v>
      </c>
      <c r="T194" s="78">
        <f>'2026 Checks'!J14</f>
        <v>32450</v>
      </c>
      <c r="U194" s="78">
        <f>'2026 Checks'!J15</f>
        <v>20550</v>
      </c>
      <c r="V194" s="78">
        <f>'2026 Checks'!J16</f>
        <v>0</v>
      </c>
      <c r="W194" s="78">
        <f>'2026 Checks'!J17</f>
        <v>10493.87</v>
      </c>
      <c r="X194" s="78">
        <f>'2026 Checks'!J18</f>
        <v>31100</v>
      </c>
      <c r="Y194" s="78">
        <f>'2026 Checks'!J19</f>
        <v>34700</v>
      </c>
      <c r="Z194" s="78">
        <f>'2026 Checks'!J20</f>
        <v>26400</v>
      </c>
      <c r="AA194" s="78">
        <f>'2026 Checks'!J21</f>
        <v>10350</v>
      </c>
      <c r="AB194" s="78">
        <f>SUM(H194:AA194)</f>
        <v>480427.6</v>
      </c>
      <c r="AC194" s="78"/>
      <c r="AD194" s="79"/>
      <c r="AE194" s="78"/>
      <c r="AF194" s="99"/>
    </row>
    <row r="195" spans="2:32" ht="15" thickBot="1" x14ac:dyDescent="0.4">
      <c r="B195" s="102"/>
      <c r="C195" s="103"/>
      <c r="D195" s="103"/>
      <c r="E195" s="103"/>
      <c r="F195" s="103"/>
      <c r="G195" s="103"/>
      <c r="H195" s="173" t="s">
        <v>270</v>
      </c>
      <c r="I195" s="127"/>
      <c r="J195" s="173" t="s">
        <v>270</v>
      </c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03"/>
      <c r="AC195" s="103"/>
      <c r="AD195" s="103"/>
      <c r="AE195" s="103"/>
      <c r="AF195" s="104"/>
    </row>
    <row r="198" spans="2:32" x14ac:dyDescent="0.35">
      <c r="F198" s="182" t="s">
        <v>341</v>
      </c>
      <c r="G198" s="181"/>
    </row>
  </sheetData>
  <sortState xmlns:xlrd2="http://schemas.microsoft.com/office/spreadsheetml/2017/richdata2" ref="E49:G51">
    <sortCondition ref="E49:E51"/>
  </sortState>
  <mergeCells count="15">
    <mergeCell ref="C179:C194"/>
    <mergeCell ref="C159:C174"/>
    <mergeCell ref="C148:C155"/>
    <mergeCell ref="C74:C81"/>
    <mergeCell ref="C63:C70"/>
    <mergeCell ref="C133:C140"/>
    <mergeCell ref="C122:C129"/>
    <mergeCell ref="C107:C114"/>
    <mergeCell ref="C96:C103"/>
    <mergeCell ref="C85:C92"/>
    <mergeCell ref="C8:C15"/>
    <mergeCell ref="C19:C26"/>
    <mergeCell ref="C30:C37"/>
    <mergeCell ref="C41:C48"/>
    <mergeCell ref="C52:C59"/>
  </mergeCells>
  <pageMargins left="0.25" right="0.25" top="0" bottom="0.75" header="0.3" footer="0.3"/>
  <pageSetup scale="28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C9B06-F089-4325-8578-C404C14FDFDB}">
  <dimension ref="A1:I32"/>
  <sheetViews>
    <sheetView workbookViewId="0">
      <selection activeCell="E16" sqref="E16"/>
    </sheetView>
  </sheetViews>
  <sheetFormatPr defaultRowHeight="14.5" x14ac:dyDescent="0.35"/>
  <cols>
    <col min="1" max="1" width="26.36328125" customWidth="1"/>
    <col min="2" max="2" width="25.453125" customWidth="1"/>
    <col min="3" max="5" width="15.453125" customWidth="1"/>
    <col min="6" max="6" width="25.453125" customWidth="1"/>
    <col min="7" max="9" width="15.453125" customWidth="1"/>
    <col min="14" max="14" width="9.81640625" bestFit="1" customWidth="1"/>
  </cols>
  <sheetData>
    <row r="1" spans="1:9" ht="40" customHeight="1" x14ac:dyDescent="0.45">
      <c r="A1" s="130" t="s">
        <v>281</v>
      </c>
    </row>
    <row r="2" spans="1:9" x14ac:dyDescent="0.35">
      <c r="F2" s="128" t="s">
        <v>279</v>
      </c>
      <c r="G2" s="128" t="s">
        <v>285</v>
      </c>
      <c r="H2" s="128" t="s">
        <v>286</v>
      </c>
      <c r="I2" s="128" t="s">
        <v>287</v>
      </c>
    </row>
    <row r="3" spans="1:9" x14ac:dyDescent="0.35">
      <c r="A3" s="131" t="s">
        <v>282</v>
      </c>
      <c r="B3" s="132" t="s">
        <v>24</v>
      </c>
      <c r="F3" t="s">
        <v>24</v>
      </c>
      <c r="G3">
        <v>173.5</v>
      </c>
      <c r="H3" s="129">
        <f>G3*5</f>
        <v>867.5</v>
      </c>
      <c r="I3">
        <v>25</v>
      </c>
    </row>
    <row r="4" spans="1:9" x14ac:dyDescent="0.35">
      <c r="A4" s="131" t="s">
        <v>283</v>
      </c>
      <c r="B4" s="133">
        <v>864</v>
      </c>
      <c r="F4" t="s">
        <v>25</v>
      </c>
      <c r="G4">
        <v>173.5</v>
      </c>
      <c r="H4" s="129">
        <f>G4*5</f>
        <v>867.5</v>
      </c>
      <c r="I4">
        <v>25</v>
      </c>
    </row>
    <row r="5" spans="1:9" x14ac:dyDescent="0.35">
      <c r="F5" t="s">
        <v>288</v>
      </c>
      <c r="G5">
        <v>23.2</v>
      </c>
      <c r="H5" s="129">
        <f t="shared" ref="H5:H11" si="0">G5*40</f>
        <v>928</v>
      </c>
      <c r="I5">
        <v>38</v>
      </c>
    </row>
    <row r="6" spans="1:9" ht="18.5" x14ac:dyDescent="0.45">
      <c r="A6" s="134" t="s">
        <v>284</v>
      </c>
      <c r="B6" s="135">
        <f>IFERROR(IF(OR(B3="",B4=""),"",B4*VLOOKUP(B3,F3:I13,4,FALSE)/VLOOKUP(B3,F3:I13,3,FALSE)),"Invalid Commodity")</f>
        <v>24.899135446685879</v>
      </c>
      <c r="F6" t="s">
        <v>31</v>
      </c>
      <c r="G6">
        <v>23</v>
      </c>
      <c r="H6" s="129">
        <f t="shared" si="0"/>
        <v>920</v>
      </c>
      <c r="I6">
        <v>38</v>
      </c>
    </row>
    <row r="7" spans="1:9" x14ac:dyDescent="0.35">
      <c r="F7" t="s">
        <v>26</v>
      </c>
      <c r="G7">
        <v>23.2</v>
      </c>
      <c r="H7" s="129">
        <f t="shared" si="0"/>
        <v>928</v>
      </c>
      <c r="I7">
        <v>38</v>
      </c>
    </row>
    <row r="8" spans="1:9" x14ac:dyDescent="0.35">
      <c r="A8" s="136" t="s">
        <v>289</v>
      </c>
      <c r="F8" t="s">
        <v>27</v>
      </c>
      <c r="G8">
        <v>23</v>
      </c>
      <c r="H8" s="129">
        <f t="shared" si="0"/>
        <v>920</v>
      </c>
      <c r="I8">
        <v>38</v>
      </c>
    </row>
    <row r="9" spans="1:9" x14ac:dyDescent="0.35">
      <c r="F9" t="s">
        <v>28</v>
      </c>
      <c r="G9">
        <v>23</v>
      </c>
      <c r="H9" s="129">
        <f t="shared" si="0"/>
        <v>920</v>
      </c>
      <c r="I9">
        <v>38</v>
      </c>
    </row>
    <row r="10" spans="1:9" ht="18.5" x14ac:dyDescent="0.45">
      <c r="A10" s="130" t="s">
        <v>290</v>
      </c>
      <c r="F10" t="s">
        <v>29</v>
      </c>
      <c r="G10">
        <v>23</v>
      </c>
      <c r="H10" s="129">
        <f t="shared" si="0"/>
        <v>920</v>
      </c>
      <c r="I10">
        <v>38</v>
      </c>
    </row>
    <row r="11" spans="1:9" x14ac:dyDescent="0.35">
      <c r="F11" t="s">
        <v>30</v>
      </c>
      <c r="G11">
        <v>22</v>
      </c>
      <c r="H11" s="129">
        <f t="shared" si="0"/>
        <v>880</v>
      </c>
      <c r="I11">
        <v>40</v>
      </c>
    </row>
    <row r="12" spans="1:9" x14ac:dyDescent="0.35">
      <c r="A12" s="131" t="s">
        <v>282</v>
      </c>
      <c r="B12" s="132" t="s">
        <v>30</v>
      </c>
      <c r="F12" t="s">
        <v>32</v>
      </c>
      <c r="G12">
        <v>23.2</v>
      </c>
      <c r="H12" s="129">
        <f>G12*35</f>
        <v>812</v>
      </c>
      <c r="I12">
        <v>32</v>
      </c>
    </row>
    <row r="13" spans="1:9" x14ac:dyDescent="0.35">
      <c r="A13" s="131" t="s">
        <v>291</v>
      </c>
      <c r="B13" s="137">
        <v>11.05</v>
      </c>
    </row>
    <row r="15" spans="1:9" ht="18.5" x14ac:dyDescent="0.45">
      <c r="A15" s="134" t="s">
        <v>292</v>
      </c>
      <c r="B15" s="138">
        <f>IFERROR(IF(OR(B12="",B13=""),"",B13*VLOOKUP(B12,F3:I13,3,FALSE)/VLOOKUP(B12,F3:I13,4,FALSE)),"Invalid Commodity")</f>
        <v>243.1</v>
      </c>
    </row>
    <row r="17" spans="1:4" x14ac:dyDescent="0.35">
      <c r="A17" s="136" t="s">
        <v>293</v>
      </c>
    </row>
    <row r="22" spans="1:4" x14ac:dyDescent="0.35">
      <c r="B22">
        <f>15.7/25</f>
        <v>0.628</v>
      </c>
    </row>
    <row r="23" spans="1:4" x14ac:dyDescent="0.35">
      <c r="B23">
        <f>B22*5</f>
        <v>3.14</v>
      </c>
    </row>
    <row r="24" spans="1:4" x14ac:dyDescent="0.35">
      <c r="B24">
        <f>B23*G3</f>
        <v>544.79000000000008</v>
      </c>
    </row>
    <row r="26" spans="1:4" x14ac:dyDescent="0.35">
      <c r="C26" s="140" t="s">
        <v>295</v>
      </c>
      <c r="D26">
        <v>33139</v>
      </c>
    </row>
    <row r="27" spans="1:4" x14ac:dyDescent="0.35">
      <c r="C27" s="140" t="s">
        <v>296</v>
      </c>
      <c r="D27">
        <f>D26/5</f>
        <v>6627.8</v>
      </c>
    </row>
    <row r="28" spans="1:4" x14ac:dyDescent="0.35">
      <c r="C28" s="140" t="s">
        <v>280</v>
      </c>
      <c r="D28">
        <v>191</v>
      </c>
    </row>
    <row r="29" spans="1:4" x14ac:dyDescent="0.35">
      <c r="C29" s="140" t="s">
        <v>297</v>
      </c>
      <c r="D29">
        <f>D27/D28</f>
        <v>34.700523560209426</v>
      </c>
    </row>
    <row r="30" spans="1:4" x14ac:dyDescent="0.35">
      <c r="C30" s="140" t="s">
        <v>298</v>
      </c>
      <c r="D30">
        <v>15.7</v>
      </c>
    </row>
    <row r="31" spans="1:4" x14ac:dyDescent="0.35">
      <c r="C31" s="140" t="s">
        <v>299</v>
      </c>
      <c r="D31">
        <f>D30*D27</f>
        <v>104056.45999999999</v>
      </c>
    </row>
    <row r="32" spans="1:4" x14ac:dyDescent="0.35">
      <c r="C32" s="140" t="s">
        <v>60</v>
      </c>
      <c r="D32">
        <f>D31/D28</f>
        <v>544.79821989528796</v>
      </c>
    </row>
  </sheetData>
  <dataValidations count="2">
    <dataValidation type="list" allowBlank="1" showInputMessage="1" showErrorMessage="1" sqref="B3" xr:uid="{E00EBD7D-2927-4204-885F-1B19FFF939D5}">
      <formula1>F3:F12</formula1>
    </dataValidation>
    <dataValidation type="list" allowBlank="1" showInputMessage="1" showErrorMessage="1" sqref="B12" xr:uid="{903302AB-A947-44D4-B60F-CE5017D917F6}">
      <formula1>F3:F12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49949-AE18-4321-B505-A3608EC90960}">
  <dimension ref="B1:N55"/>
  <sheetViews>
    <sheetView topLeftCell="A16" zoomScaleNormal="100" zoomScalePageLayoutView="17" workbookViewId="0">
      <selection activeCell="K41" sqref="K41"/>
    </sheetView>
  </sheetViews>
  <sheetFormatPr defaultRowHeight="14.5" x14ac:dyDescent="0.35"/>
  <cols>
    <col min="2" max="2" width="10.453125" style="57" bestFit="1" customWidth="1"/>
    <col min="3" max="3" width="9.54296875" style="57" bestFit="1" customWidth="1"/>
    <col min="4" max="4" width="9.81640625" style="63" bestFit="1" customWidth="1"/>
    <col min="5" max="5" width="9.90625" style="57" bestFit="1" customWidth="1"/>
    <col min="6" max="6" width="25.6328125" style="57" bestFit="1" customWidth="1"/>
    <col min="7" max="7" width="14.81640625" bestFit="1" customWidth="1"/>
    <col min="8" max="8" width="6.453125" customWidth="1"/>
    <col min="9" max="9" width="22.453125" style="57" bestFit="1" customWidth="1"/>
    <col min="10" max="10" width="24.7265625" style="58" bestFit="1" customWidth="1"/>
    <col min="11" max="11" width="9.453125" style="68" bestFit="1" customWidth="1"/>
    <col min="12" max="12" width="17.7265625" style="58" customWidth="1"/>
    <col min="13" max="13" width="14" style="57" bestFit="1" customWidth="1"/>
    <col min="14" max="14" width="17.453125" bestFit="1" customWidth="1"/>
  </cols>
  <sheetData>
    <row r="1" spans="2:14" s="1" customFormat="1" x14ac:dyDescent="0.35">
      <c r="B1" s="2" t="s">
        <v>55</v>
      </c>
      <c r="C1" s="2" t="s">
        <v>56</v>
      </c>
      <c r="D1" s="61" t="s">
        <v>57</v>
      </c>
      <c r="E1" s="2" t="s">
        <v>61</v>
      </c>
      <c r="F1" s="2" t="s">
        <v>62</v>
      </c>
      <c r="I1" s="59" t="s">
        <v>56</v>
      </c>
      <c r="J1" s="60" t="s">
        <v>63</v>
      </c>
      <c r="K1" s="67" t="s">
        <v>64</v>
      </c>
      <c r="L1" s="60" t="s">
        <v>65</v>
      </c>
      <c r="M1" s="59" t="s">
        <v>66</v>
      </c>
      <c r="N1" s="1" t="s">
        <v>67</v>
      </c>
    </row>
    <row r="2" spans="2:14" x14ac:dyDescent="0.35">
      <c r="B2" s="62">
        <v>46026</v>
      </c>
      <c r="C2" s="57" t="s">
        <v>14</v>
      </c>
      <c r="D2" s="63">
        <v>31250</v>
      </c>
      <c r="E2" s="71" t="s">
        <v>69</v>
      </c>
      <c r="F2" s="57" t="s">
        <v>275</v>
      </c>
      <c r="I2" s="75" t="s">
        <v>2</v>
      </c>
      <c r="J2" s="124">
        <f>SUMIF($C$2:$C$50,I2,$D$2:$D$50)</f>
        <v>78986.429999999993</v>
      </c>
      <c r="K2" s="77">
        <v>566</v>
      </c>
      <c r="L2" s="85">
        <f>J2/K2</f>
        <v>139.55199646643109</v>
      </c>
      <c r="M2" s="75" t="s">
        <v>71</v>
      </c>
    </row>
    <row r="3" spans="2:14" x14ac:dyDescent="0.35">
      <c r="B3" s="62">
        <v>46026</v>
      </c>
      <c r="C3" s="57" t="s">
        <v>18</v>
      </c>
      <c r="D3" s="63">
        <v>16850</v>
      </c>
      <c r="E3" s="71" t="s">
        <v>69</v>
      </c>
      <c r="F3" s="57" t="s">
        <v>276</v>
      </c>
      <c r="I3" s="75" t="s">
        <v>73</v>
      </c>
      <c r="J3" s="124">
        <f t="shared" ref="J3:J21" si="0">SUMIF($C$2:$C$50,I3,$D$2:$D$50)</f>
        <v>39300</v>
      </c>
      <c r="K3" s="77"/>
      <c r="L3" s="85" t="e">
        <f t="shared" ref="L3:L17" si="1">J3/K3</f>
        <v>#DIV/0!</v>
      </c>
      <c r="M3" s="75"/>
    </row>
    <row r="4" spans="2:14" x14ac:dyDescent="0.35">
      <c r="B4" s="62">
        <v>46026</v>
      </c>
      <c r="C4" s="57" t="s">
        <v>2</v>
      </c>
      <c r="D4" s="63">
        <v>42050</v>
      </c>
      <c r="E4" s="71" t="s">
        <v>69</v>
      </c>
      <c r="F4" s="57" t="s">
        <v>277</v>
      </c>
      <c r="I4" s="75" t="s">
        <v>74</v>
      </c>
      <c r="J4" s="124">
        <f>SUMIF($C$2:$C$50,I4,$D$2:$D$50)</f>
        <v>66447.3</v>
      </c>
      <c r="K4" s="77">
        <v>428</v>
      </c>
      <c r="L4" s="85">
        <f t="shared" si="1"/>
        <v>155.25070093457944</v>
      </c>
      <c r="M4" s="75" t="s">
        <v>71</v>
      </c>
    </row>
    <row r="5" spans="2:14" x14ac:dyDescent="0.35">
      <c r="B5" s="62">
        <v>46026</v>
      </c>
      <c r="C5" s="57" t="s">
        <v>74</v>
      </c>
      <c r="D5" s="63">
        <v>37000</v>
      </c>
      <c r="E5" s="71" t="s">
        <v>69</v>
      </c>
      <c r="F5" s="57" t="s">
        <v>278</v>
      </c>
      <c r="I5" s="75" t="s">
        <v>5</v>
      </c>
      <c r="J5" s="124">
        <f t="shared" si="0"/>
        <v>0</v>
      </c>
      <c r="K5" s="77"/>
      <c r="L5" s="85" t="e">
        <f t="shared" si="1"/>
        <v>#DIV/0!</v>
      </c>
      <c r="M5" s="75"/>
    </row>
    <row r="6" spans="2:14" x14ac:dyDescent="0.35">
      <c r="B6" s="62">
        <v>46047</v>
      </c>
      <c r="C6" s="57" t="s">
        <v>2</v>
      </c>
      <c r="D6" s="63">
        <v>14100</v>
      </c>
      <c r="E6" s="71" t="s">
        <v>69</v>
      </c>
      <c r="F6" s="57" t="s">
        <v>273</v>
      </c>
      <c r="I6" s="75" t="s">
        <v>77</v>
      </c>
      <c r="J6" s="124">
        <f t="shared" si="0"/>
        <v>0</v>
      </c>
      <c r="K6" s="77"/>
      <c r="L6" s="85" t="e">
        <f t="shared" si="1"/>
        <v>#DIV/0!</v>
      </c>
      <c r="M6" s="75"/>
      <c r="N6" s="49"/>
    </row>
    <row r="7" spans="2:14" x14ac:dyDescent="0.35">
      <c r="B7" s="62">
        <v>46047</v>
      </c>
      <c r="C7" s="57" t="s">
        <v>74</v>
      </c>
      <c r="D7" s="63">
        <v>13100</v>
      </c>
      <c r="E7" s="71" t="s">
        <v>69</v>
      </c>
      <c r="F7" s="57" t="s">
        <v>274</v>
      </c>
      <c r="I7" s="75" t="s">
        <v>78</v>
      </c>
      <c r="J7" s="124">
        <f t="shared" si="0"/>
        <v>0</v>
      </c>
      <c r="K7" s="77"/>
      <c r="L7" s="85" t="e">
        <f t="shared" si="1"/>
        <v>#DIV/0!</v>
      </c>
      <c r="M7" s="75"/>
      <c r="N7" s="49"/>
    </row>
    <row r="8" spans="2:14" x14ac:dyDescent="0.35">
      <c r="B8" s="62">
        <v>46083</v>
      </c>
      <c r="C8" s="57" t="s">
        <v>2</v>
      </c>
      <c r="D8" s="63">
        <v>9800</v>
      </c>
      <c r="E8" s="71" t="s">
        <v>69</v>
      </c>
      <c r="F8" s="57" t="s">
        <v>316</v>
      </c>
      <c r="I8" s="125" t="s">
        <v>79</v>
      </c>
      <c r="J8" s="124">
        <f t="shared" si="0"/>
        <v>0</v>
      </c>
      <c r="K8" s="126"/>
      <c r="L8" s="85" t="e">
        <f t="shared" si="1"/>
        <v>#DIV/0!</v>
      </c>
      <c r="M8" s="125"/>
      <c r="N8" s="49"/>
    </row>
    <row r="9" spans="2:14" x14ac:dyDescent="0.35">
      <c r="B9" s="62">
        <v>46083</v>
      </c>
      <c r="C9" s="57" t="s">
        <v>13</v>
      </c>
      <c r="D9" s="63">
        <v>86150</v>
      </c>
      <c r="E9" s="71" t="s">
        <v>69</v>
      </c>
      <c r="F9" s="57" t="s">
        <v>318</v>
      </c>
      <c r="I9" s="125" t="s">
        <v>82</v>
      </c>
      <c r="J9" s="124">
        <f t="shared" si="0"/>
        <v>0</v>
      </c>
      <c r="K9" s="126"/>
      <c r="L9" s="85" t="e">
        <f t="shared" si="1"/>
        <v>#DIV/0!</v>
      </c>
      <c r="M9" s="125"/>
      <c r="N9" s="49"/>
    </row>
    <row r="10" spans="2:14" x14ac:dyDescent="0.35">
      <c r="B10" s="62">
        <v>46083</v>
      </c>
      <c r="C10" s="57" t="s">
        <v>14</v>
      </c>
      <c r="D10" s="63">
        <v>1200</v>
      </c>
      <c r="E10" s="71" t="s">
        <v>69</v>
      </c>
      <c r="F10" s="57" t="s">
        <v>317</v>
      </c>
      <c r="I10" s="75" t="s">
        <v>10</v>
      </c>
      <c r="J10" s="124">
        <f t="shared" si="0"/>
        <v>0</v>
      </c>
      <c r="K10" s="77"/>
      <c r="L10" s="85" t="e">
        <f t="shared" si="1"/>
        <v>#DIV/0!</v>
      </c>
      <c r="M10" s="75"/>
    </row>
    <row r="11" spans="2:14" x14ac:dyDescent="0.35">
      <c r="B11" s="62">
        <v>46083</v>
      </c>
      <c r="C11" s="57" t="s">
        <v>18</v>
      </c>
      <c r="D11" s="63">
        <v>14250</v>
      </c>
      <c r="E11" s="71" t="s">
        <v>69</v>
      </c>
      <c r="F11" s="57" t="s">
        <v>320</v>
      </c>
      <c r="I11" s="75" t="s">
        <v>11</v>
      </c>
      <c r="J11" s="124">
        <f t="shared" si="0"/>
        <v>43500</v>
      </c>
      <c r="K11" s="77"/>
      <c r="L11" s="85" t="e">
        <f t="shared" si="1"/>
        <v>#DIV/0!</v>
      </c>
      <c r="M11" s="75"/>
    </row>
    <row r="12" spans="2:14" x14ac:dyDescent="0.35">
      <c r="B12" s="62">
        <v>46083</v>
      </c>
      <c r="C12" s="57" t="s">
        <v>83</v>
      </c>
      <c r="D12" s="63">
        <v>10350</v>
      </c>
      <c r="E12" s="71" t="s">
        <v>69</v>
      </c>
      <c r="F12" s="57" t="s">
        <v>321</v>
      </c>
      <c r="I12" s="75" t="s">
        <v>12</v>
      </c>
      <c r="J12" s="124">
        <f t="shared" si="0"/>
        <v>0</v>
      </c>
      <c r="K12" s="77"/>
      <c r="L12" s="85" t="e">
        <f t="shared" si="1"/>
        <v>#DIV/0!</v>
      </c>
      <c r="M12" s="75"/>
    </row>
    <row r="13" spans="2:14" x14ac:dyDescent="0.35">
      <c r="B13" s="62">
        <v>46083</v>
      </c>
      <c r="C13" s="57" t="s">
        <v>73</v>
      </c>
      <c r="D13" s="63">
        <v>39300</v>
      </c>
      <c r="E13" s="71" t="s">
        <v>69</v>
      </c>
      <c r="F13" s="57" t="s">
        <v>319</v>
      </c>
      <c r="I13" s="75" t="s">
        <v>13</v>
      </c>
      <c r="J13" s="124">
        <f t="shared" si="0"/>
        <v>86150</v>
      </c>
      <c r="K13" s="77"/>
      <c r="L13" s="85" t="e">
        <f t="shared" si="1"/>
        <v>#DIV/0!</v>
      </c>
      <c r="M13" s="75"/>
    </row>
    <row r="14" spans="2:14" x14ac:dyDescent="0.35">
      <c r="B14" s="62">
        <v>46083</v>
      </c>
      <c r="C14" s="57" t="s">
        <v>74</v>
      </c>
      <c r="D14" s="63">
        <v>5500</v>
      </c>
      <c r="E14" s="71" t="s">
        <v>69</v>
      </c>
      <c r="F14" s="57" t="s">
        <v>322</v>
      </c>
      <c r="I14" s="75" t="s">
        <v>14</v>
      </c>
      <c r="J14" s="124">
        <f t="shared" si="0"/>
        <v>32450</v>
      </c>
      <c r="K14" s="77"/>
      <c r="L14" s="85" t="e">
        <f t="shared" si="1"/>
        <v>#DIV/0!</v>
      </c>
      <c r="M14" s="75"/>
    </row>
    <row r="15" spans="2:14" x14ac:dyDescent="0.35">
      <c r="B15" s="62">
        <v>46070</v>
      </c>
      <c r="C15" s="57" t="s">
        <v>17</v>
      </c>
      <c r="D15" s="63">
        <v>10493.87</v>
      </c>
      <c r="E15" s="57" t="s">
        <v>103</v>
      </c>
      <c r="F15" s="57" t="s">
        <v>323</v>
      </c>
      <c r="I15" s="75" t="s">
        <v>15</v>
      </c>
      <c r="J15" s="124">
        <f t="shared" si="0"/>
        <v>20550</v>
      </c>
      <c r="K15" s="77"/>
      <c r="L15" s="85" t="e">
        <f t="shared" si="1"/>
        <v>#DIV/0!</v>
      </c>
      <c r="M15" s="75"/>
    </row>
    <row r="16" spans="2:14" x14ac:dyDescent="0.35">
      <c r="B16" s="62">
        <v>46112</v>
      </c>
      <c r="C16" s="57" t="s">
        <v>15</v>
      </c>
      <c r="D16" s="63">
        <v>20550</v>
      </c>
      <c r="E16" s="71" t="s">
        <v>69</v>
      </c>
      <c r="F16" s="57" t="s">
        <v>312</v>
      </c>
      <c r="I16" s="75" t="s">
        <v>16</v>
      </c>
      <c r="J16" s="124">
        <f t="shared" si="0"/>
        <v>0</v>
      </c>
      <c r="K16" s="77"/>
      <c r="L16" s="85" t="e">
        <f t="shared" si="1"/>
        <v>#DIV/0!</v>
      </c>
      <c r="M16" s="75"/>
    </row>
    <row r="17" spans="2:14" x14ac:dyDescent="0.35">
      <c r="B17" s="62">
        <v>46112</v>
      </c>
      <c r="C17" s="57" t="s">
        <v>19</v>
      </c>
      <c r="D17" s="63">
        <v>34700</v>
      </c>
      <c r="E17" s="71" t="s">
        <v>69</v>
      </c>
      <c r="F17" s="57" t="s">
        <v>314</v>
      </c>
      <c r="I17" s="125" t="s">
        <v>17</v>
      </c>
      <c r="J17" s="124">
        <f t="shared" si="0"/>
        <v>10493.87</v>
      </c>
      <c r="K17" s="77"/>
      <c r="L17" s="85" t="e">
        <f t="shared" si="1"/>
        <v>#DIV/0!</v>
      </c>
      <c r="M17" s="75"/>
    </row>
    <row r="18" spans="2:14" x14ac:dyDescent="0.35">
      <c r="B18" s="62">
        <v>46112</v>
      </c>
      <c r="C18" s="57" t="s">
        <v>80</v>
      </c>
      <c r="D18" s="63">
        <v>26400</v>
      </c>
      <c r="E18" s="71" t="s">
        <v>69</v>
      </c>
      <c r="F18" s="57" t="s">
        <v>313</v>
      </c>
      <c r="I18" s="75" t="s">
        <v>18</v>
      </c>
      <c r="J18" s="124">
        <f t="shared" si="0"/>
        <v>31100</v>
      </c>
      <c r="K18" s="77"/>
      <c r="L18" s="85" t="e">
        <f>J18/K18</f>
        <v>#DIV/0!</v>
      </c>
      <c r="M18" s="75"/>
    </row>
    <row r="19" spans="2:14" x14ac:dyDescent="0.35">
      <c r="B19" s="62">
        <v>46112</v>
      </c>
      <c r="C19" s="57" t="s">
        <v>11</v>
      </c>
      <c r="D19" s="63">
        <v>43500</v>
      </c>
      <c r="E19" s="71" t="s">
        <v>69</v>
      </c>
      <c r="F19" s="57" t="s">
        <v>315</v>
      </c>
      <c r="I19" s="75" t="s">
        <v>19</v>
      </c>
      <c r="J19" s="124">
        <f t="shared" si="0"/>
        <v>34700</v>
      </c>
      <c r="K19" s="77"/>
      <c r="L19" s="85" t="e">
        <f>J19/K19</f>
        <v>#DIV/0!</v>
      </c>
      <c r="M19" s="75"/>
    </row>
    <row r="20" spans="2:14" x14ac:dyDescent="0.35">
      <c r="B20" s="62">
        <v>46129</v>
      </c>
      <c r="C20" s="57" t="s">
        <v>2</v>
      </c>
      <c r="D20" s="63">
        <v>13036.43</v>
      </c>
      <c r="E20" s="57" t="s">
        <v>69</v>
      </c>
      <c r="F20" s="57" t="s">
        <v>324</v>
      </c>
      <c r="I20" s="125" t="s">
        <v>80</v>
      </c>
      <c r="J20" s="124">
        <f t="shared" si="0"/>
        <v>26400</v>
      </c>
      <c r="K20" s="126"/>
      <c r="L20" s="85" t="e">
        <f>J20/K20</f>
        <v>#DIV/0!</v>
      </c>
      <c r="M20" s="75"/>
    </row>
    <row r="21" spans="2:14" x14ac:dyDescent="0.35">
      <c r="B21" s="62">
        <v>46129</v>
      </c>
      <c r="C21" s="57" t="s">
        <v>74</v>
      </c>
      <c r="D21" s="63">
        <v>10847.3</v>
      </c>
      <c r="E21" s="57" t="s">
        <v>69</v>
      </c>
      <c r="F21" s="57" t="s">
        <v>325</v>
      </c>
      <c r="I21" s="125" t="s">
        <v>83</v>
      </c>
      <c r="J21" s="124">
        <f t="shared" si="0"/>
        <v>10350</v>
      </c>
      <c r="K21" s="126"/>
      <c r="L21" s="85" t="e">
        <f>J21/K21</f>
        <v>#DIV/0!</v>
      </c>
      <c r="M21" s="125"/>
    </row>
    <row r="22" spans="2:14" x14ac:dyDescent="0.35">
      <c r="I22" s="57" t="s">
        <v>90</v>
      </c>
      <c r="J22" s="76">
        <f>SUMIFS($D$4:$D$40,$C$4:$C$40,I22)</f>
        <v>0</v>
      </c>
      <c r="L22" s="85"/>
    </row>
    <row r="24" spans="2:14" x14ac:dyDescent="0.35">
      <c r="I24" s="57" t="s">
        <v>272</v>
      </c>
      <c r="J24" s="58">
        <v>0</v>
      </c>
    </row>
    <row r="25" spans="2:14" x14ac:dyDescent="0.35">
      <c r="I25" s="57" t="s">
        <v>33</v>
      </c>
      <c r="J25" s="58">
        <f>SUM(J2:J21)</f>
        <v>480427.6</v>
      </c>
      <c r="L25" s="121"/>
    </row>
    <row r="26" spans="2:14" x14ac:dyDescent="0.35">
      <c r="I26" s="57" t="s">
        <v>99</v>
      </c>
      <c r="J26" s="58">
        <v>480427.6</v>
      </c>
    </row>
    <row r="27" spans="2:14" x14ac:dyDescent="0.35">
      <c r="I27" s="57" t="s">
        <v>100</v>
      </c>
      <c r="J27" s="58">
        <f>J26-J25</f>
        <v>0</v>
      </c>
      <c r="L27" s="58">
        <f>J26-J24</f>
        <v>480427.6</v>
      </c>
      <c r="N27" s="57"/>
    </row>
    <row r="29" spans="2:14" x14ac:dyDescent="0.35">
      <c r="I29" s="57" t="s">
        <v>101</v>
      </c>
      <c r="J29" s="58">
        <f>Revenue!AB186</f>
        <v>1481385.6033170247</v>
      </c>
      <c r="N29" s="57"/>
    </row>
    <row r="30" spans="2:14" x14ac:dyDescent="0.35">
      <c r="I30" s="57" t="s">
        <v>102</v>
      </c>
      <c r="J30" s="58">
        <f>J29-J25</f>
        <v>1000958.0033170247</v>
      </c>
    </row>
    <row r="32" spans="2:14" x14ac:dyDescent="0.35">
      <c r="E32" s="71"/>
    </row>
    <row r="33" spans="2:12" x14ac:dyDescent="0.35">
      <c r="E33" s="71"/>
      <c r="J33" s="57"/>
      <c r="K33" s="57"/>
      <c r="L33" s="57"/>
    </row>
    <row r="34" spans="2:12" x14ac:dyDescent="0.35">
      <c r="E34" s="71"/>
      <c r="F34" s="63"/>
      <c r="I34" s="187" t="s">
        <v>331</v>
      </c>
      <c r="J34" s="187"/>
    </row>
    <row r="35" spans="2:12" x14ac:dyDescent="0.35">
      <c r="E35" s="71"/>
      <c r="F35" s="63"/>
      <c r="I35" t="s">
        <v>30</v>
      </c>
      <c r="J35" t="s">
        <v>326</v>
      </c>
    </row>
    <row r="36" spans="2:12" x14ac:dyDescent="0.35">
      <c r="E36" s="71"/>
      <c r="F36" s="63"/>
      <c r="I36" t="s">
        <v>25</v>
      </c>
      <c r="J36" t="s">
        <v>327</v>
      </c>
    </row>
    <row r="37" spans="2:12" x14ac:dyDescent="0.35">
      <c r="E37" s="71"/>
      <c r="I37" t="s">
        <v>328</v>
      </c>
      <c r="J37" t="s">
        <v>329</v>
      </c>
    </row>
    <row r="38" spans="2:12" x14ac:dyDescent="0.35">
      <c r="I38" t="s">
        <v>330</v>
      </c>
      <c r="J38" t="s">
        <v>329</v>
      </c>
    </row>
    <row r="39" spans="2:12" x14ac:dyDescent="0.35">
      <c r="E39" s="71"/>
      <c r="I39" s="62"/>
      <c r="J39" s="57"/>
    </row>
    <row r="40" spans="2:12" x14ac:dyDescent="0.35">
      <c r="E40" s="71"/>
      <c r="F40" s="63"/>
      <c r="I40" s="178" t="s">
        <v>56</v>
      </c>
      <c r="J40" s="6" t="s">
        <v>339</v>
      </c>
      <c r="K40" s="179" t="s">
        <v>340</v>
      </c>
    </row>
    <row r="41" spans="2:12" x14ac:dyDescent="0.35">
      <c r="E41" s="71"/>
      <c r="F41" s="63"/>
      <c r="I41" s="177" t="s">
        <v>332</v>
      </c>
      <c r="J41" s="57">
        <v>425</v>
      </c>
      <c r="K41" s="68">
        <v>249</v>
      </c>
      <c r="L41" s="180">
        <f>K41/J41</f>
        <v>0.58588235294117652</v>
      </c>
    </row>
    <row r="42" spans="2:12" x14ac:dyDescent="0.35">
      <c r="E42" s="71"/>
      <c r="F42" s="63"/>
      <c r="I42" s="177">
        <v>11</v>
      </c>
      <c r="J42" s="57">
        <v>875</v>
      </c>
      <c r="K42" s="68">
        <v>864</v>
      </c>
      <c r="L42" s="180">
        <f t="shared" ref="L42:L48" si="2">K42/J42</f>
        <v>0.98742857142857143</v>
      </c>
    </row>
    <row r="43" spans="2:12" x14ac:dyDescent="0.35">
      <c r="B43" s="62"/>
      <c r="E43" s="71"/>
      <c r="F43" s="63"/>
      <c r="I43" s="177" t="s">
        <v>333</v>
      </c>
      <c r="J43" s="57">
        <v>470</v>
      </c>
      <c r="K43" s="68">
        <v>664</v>
      </c>
      <c r="L43" s="180">
        <f t="shared" si="2"/>
        <v>1.4127659574468086</v>
      </c>
    </row>
    <row r="44" spans="2:12" x14ac:dyDescent="0.35">
      <c r="B44" s="62"/>
      <c r="E44" s="71"/>
      <c r="F44" s="63"/>
      <c r="I44" s="177" t="s">
        <v>334</v>
      </c>
      <c r="J44" s="57">
        <v>791</v>
      </c>
      <c r="K44" s="68">
        <v>664</v>
      </c>
      <c r="L44" s="180">
        <f t="shared" si="2"/>
        <v>0.83944374209860939</v>
      </c>
    </row>
    <row r="45" spans="2:12" x14ac:dyDescent="0.35">
      <c r="B45" s="62"/>
      <c r="E45" s="71"/>
      <c r="F45" s="63"/>
      <c r="I45" s="177" t="s">
        <v>335</v>
      </c>
      <c r="J45" s="57">
        <v>941</v>
      </c>
      <c r="K45" s="68">
        <v>438</v>
      </c>
      <c r="L45" s="180">
        <f t="shared" si="2"/>
        <v>0.46546227417640806</v>
      </c>
    </row>
    <row r="46" spans="2:12" x14ac:dyDescent="0.35">
      <c r="B46" s="62"/>
      <c r="E46" s="71"/>
      <c r="F46" s="63"/>
      <c r="I46" s="177" t="s">
        <v>336</v>
      </c>
      <c r="J46" s="57">
        <v>627</v>
      </c>
      <c r="K46" s="68">
        <v>438</v>
      </c>
      <c r="L46" s="180">
        <f t="shared" si="2"/>
        <v>0.69856459330143539</v>
      </c>
    </row>
    <row r="47" spans="2:12" x14ac:dyDescent="0.35">
      <c r="B47" s="62"/>
      <c r="E47" s="71"/>
      <c r="F47" s="63"/>
      <c r="I47" s="177" t="s">
        <v>337</v>
      </c>
      <c r="J47" s="57">
        <v>748</v>
      </c>
      <c r="K47" s="68">
        <v>530</v>
      </c>
      <c r="L47" s="180">
        <f t="shared" si="2"/>
        <v>0.70855614973262027</v>
      </c>
    </row>
    <row r="48" spans="2:12" x14ac:dyDescent="0.35">
      <c r="B48" s="62"/>
      <c r="E48" s="71"/>
      <c r="F48" s="63"/>
      <c r="I48" s="177" t="s">
        <v>338</v>
      </c>
      <c r="J48" s="57">
        <v>90</v>
      </c>
      <c r="K48" s="68">
        <v>253</v>
      </c>
      <c r="L48" s="180">
        <f t="shared" si="2"/>
        <v>2.8111111111111109</v>
      </c>
    </row>
    <row r="49" spans="2:6" x14ac:dyDescent="0.35">
      <c r="B49" s="62"/>
      <c r="E49" s="71"/>
      <c r="F49" s="63"/>
    </row>
    <row r="50" spans="2:6" x14ac:dyDescent="0.35">
      <c r="B50" s="62"/>
      <c r="E50" s="71"/>
      <c r="F50" s="63"/>
    </row>
    <row r="51" spans="2:6" x14ac:dyDescent="0.35">
      <c r="B51" s="62"/>
      <c r="E51" s="71"/>
      <c r="F51" s="63"/>
    </row>
    <row r="52" spans="2:6" x14ac:dyDescent="0.35">
      <c r="B52" s="62"/>
      <c r="E52" s="71"/>
      <c r="F52" s="63"/>
    </row>
    <row r="53" spans="2:6" x14ac:dyDescent="0.35">
      <c r="B53" s="62"/>
    </row>
    <row r="54" spans="2:6" ht="14.25" customHeight="1" x14ac:dyDescent="0.35">
      <c r="B54" s="62"/>
    </row>
    <row r="55" spans="2:6" x14ac:dyDescent="0.35">
      <c r="B55" s="62"/>
    </row>
  </sheetData>
  <mergeCells count="1">
    <mergeCell ref="I34:J3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3A3AC-8C7A-431C-A3F2-32D489F74FF6}">
  <dimension ref="B1:O55"/>
  <sheetViews>
    <sheetView zoomScaleNormal="100" zoomScalePageLayoutView="17" workbookViewId="0">
      <selection activeCell="O2" sqref="O2"/>
    </sheetView>
  </sheetViews>
  <sheetFormatPr defaultRowHeight="14.5" x14ac:dyDescent="0.35"/>
  <cols>
    <col min="2" max="2" width="10.453125" style="57" bestFit="1" customWidth="1"/>
    <col min="3" max="3" width="9.54296875" style="57" bestFit="1" customWidth="1"/>
    <col min="4" max="4" width="9.81640625" style="63" bestFit="1" customWidth="1"/>
    <col min="5" max="5" width="9.36328125" style="57" bestFit="1" customWidth="1"/>
    <col min="6" max="6" width="9.90625" style="57" bestFit="1" customWidth="1"/>
    <col min="7" max="7" width="18.81640625" style="57" bestFit="1" customWidth="1"/>
    <col min="8" max="8" width="14.81640625" bestFit="1" customWidth="1"/>
    <col min="9" max="9" width="6.453125" customWidth="1"/>
    <col min="10" max="10" width="22.453125" style="57" bestFit="1" customWidth="1"/>
    <col min="11" max="11" width="24.7265625" style="58" bestFit="1" customWidth="1"/>
    <col min="12" max="12" width="9.453125" style="68" bestFit="1" customWidth="1"/>
    <col min="13" max="13" width="17.7265625" style="58" customWidth="1"/>
    <col min="14" max="14" width="14" style="57" bestFit="1" customWidth="1"/>
    <col min="15" max="15" width="17.453125" bestFit="1" customWidth="1"/>
  </cols>
  <sheetData>
    <row r="1" spans="2:15" s="1" customFormat="1" x14ac:dyDescent="0.35">
      <c r="B1" s="2" t="s">
        <v>55</v>
      </c>
      <c r="C1" s="2" t="s">
        <v>56</v>
      </c>
      <c r="D1" s="61" t="s">
        <v>57</v>
      </c>
      <c r="E1" s="2" t="s">
        <v>58</v>
      </c>
      <c r="F1" s="2" t="s">
        <v>61</v>
      </c>
      <c r="G1" s="2" t="s">
        <v>62</v>
      </c>
      <c r="J1" s="59" t="s">
        <v>56</v>
      </c>
      <c r="K1" s="60" t="s">
        <v>63</v>
      </c>
      <c r="L1" s="67" t="s">
        <v>64</v>
      </c>
      <c r="M1" s="60" t="s">
        <v>65</v>
      </c>
      <c r="N1" s="59" t="s">
        <v>66</v>
      </c>
      <c r="O1" s="1" t="s">
        <v>67</v>
      </c>
    </row>
    <row r="2" spans="2:15" x14ac:dyDescent="0.35">
      <c r="B2" s="62">
        <v>45688</v>
      </c>
      <c r="C2" s="57" t="s">
        <v>2</v>
      </c>
      <c r="D2" s="63">
        <v>7450</v>
      </c>
      <c r="E2" s="57" t="s">
        <v>68</v>
      </c>
      <c r="F2" s="71" t="s">
        <v>69</v>
      </c>
      <c r="G2" s="57" t="s">
        <v>70</v>
      </c>
      <c r="J2" s="114" t="s">
        <v>2</v>
      </c>
      <c r="K2" s="122">
        <f t="shared" ref="K2:K21" si="0">SUMIFS($D$2:$D$54,$C$2:$C$54,J2)</f>
        <v>45817.36</v>
      </c>
      <c r="L2" s="116">
        <v>191</v>
      </c>
      <c r="M2" s="117">
        <f>K2/L2</f>
        <v>239.88146596858638</v>
      </c>
      <c r="N2" s="114" t="s">
        <v>71</v>
      </c>
    </row>
    <row r="3" spans="2:15" x14ac:dyDescent="0.35">
      <c r="B3" s="62">
        <v>45688</v>
      </c>
      <c r="C3" s="57" t="s">
        <v>15</v>
      </c>
      <c r="D3" s="63">
        <v>11600</v>
      </c>
      <c r="E3" s="57" t="s">
        <v>68</v>
      </c>
      <c r="F3" s="71" t="s">
        <v>69</v>
      </c>
      <c r="G3" s="57" t="s">
        <v>72</v>
      </c>
      <c r="J3" s="114" t="s">
        <v>73</v>
      </c>
      <c r="K3" s="122">
        <f t="shared" si="0"/>
        <v>99121.25</v>
      </c>
      <c r="L3" s="116">
        <v>400</v>
      </c>
      <c r="M3" s="117">
        <f t="shared" ref="M3:M16" si="1">K3/L3</f>
        <v>247.80312499999999</v>
      </c>
      <c r="N3" s="114" t="s">
        <v>71</v>
      </c>
    </row>
    <row r="4" spans="2:15" x14ac:dyDescent="0.35">
      <c r="B4" s="62">
        <v>45688</v>
      </c>
      <c r="C4" s="57" t="s">
        <v>74</v>
      </c>
      <c r="D4" s="63">
        <v>10550</v>
      </c>
      <c r="E4" s="57" t="s">
        <v>68</v>
      </c>
      <c r="F4" s="71" t="s">
        <v>69</v>
      </c>
      <c r="G4" s="57" t="s">
        <v>70</v>
      </c>
      <c r="J4" s="114" t="s">
        <v>74</v>
      </c>
      <c r="K4" s="122">
        <f t="shared" si="0"/>
        <v>42238.7</v>
      </c>
      <c r="L4" s="116">
        <v>177</v>
      </c>
      <c r="M4" s="117">
        <f t="shared" si="1"/>
        <v>238.63672316384179</v>
      </c>
      <c r="N4" s="114" t="s">
        <v>71</v>
      </c>
    </row>
    <row r="5" spans="2:15" x14ac:dyDescent="0.35">
      <c r="B5" s="62">
        <v>45663</v>
      </c>
      <c r="C5" s="57" t="s">
        <v>14</v>
      </c>
      <c r="D5" s="63">
        <v>13650</v>
      </c>
      <c r="E5" s="57" t="s">
        <v>75</v>
      </c>
      <c r="F5" s="71" t="s">
        <v>69</v>
      </c>
      <c r="G5" s="57" t="s">
        <v>76</v>
      </c>
      <c r="J5" s="114" t="s">
        <v>5</v>
      </c>
      <c r="K5" s="122">
        <f t="shared" si="0"/>
        <v>42512.99</v>
      </c>
      <c r="L5" s="116">
        <v>478.5</v>
      </c>
      <c r="M5" s="117">
        <f t="shared" si="1"/>
        <v>88.846374085684431</v>
      </c>
      <c r="N5" s="114" t="s">
        <v>71</v>
      </c>
    </row>
    <row r="6" spans="2:15" x14ac:dyDescent="0.35">
      <c r="B6" s="62">
        <v>45663</v>
      </c>
      <c r="C6" s="57" t="s">
        <v>18</v>
      </c>
      <c r="D6" s="63">
        <v>8700</v>
      </c>
      <c r="E6" s="57" t="s">
        <v>75</v>
      </c>
      <c r="F6" s="71" t="s">
        <v>69</v>
      </c>
      <c r="G6" s="57" t="s">
        <v>76</v>
      </c>
      <c r="J6" s="114" t="s">
        <v>77</v>
      </c>
      <c r="K6" s="122">
        <f t="shared" si="0"/>
        <v>107428.13</v>
      </c>
      <c r="L6" s="116">
        <v>538</v>
      </c>
      <c r="M6" s="117">
        <f t="shared" si="1"/>
        <v>199.68053903345725</v>
      </c>
      <c r="N6" s="114" t="s">
        <v>71</v>
      </c>
      <c r="O6" s="49"/>
    </row>
    <row r="7" spans="2:15" x14ac:dyDescent="0.35">
      <c r="B7" s="62">
        <v>45663</v>
      </c>
      <c r="C7" s="57" t="s">
        <v>2</v>
      </c>
      <c r="D7" s="63">
        <v>16900</v>
      </c>
      <c r="E7" s="57" t="s">
        <v>75</v>
      </c>
      <c r="F7" s="71" t="s">
        <v>69</v>
      </c>
      <c r="G7" s="57" t="s">
        <v>70</v>
      </c>
      <c r="J7" s="114" t="s">
        <v>78</v>
      </c>
      <c r="K7" s="122">
        <f t="shared" si="0"/>
        <v>24749.61</v>
      </c>
      <c r="L7" s="116">
        <v>123</v>
      </c>
      <c r="M7" s="117">
        <f t="shared" si="1"/>
        <v>201.21634146341464</v>
      </c>
      <c r="N7" s="114" t="s">
        <v>71</v>
      </c>
      <c r="O7" s="49"/>
    </row>
    <row r="8" spans="2:15" x14ac:dyDescent="0.35">
      <c r="B8" s="62">
        <v>45663</v>
      </c>
      <c r="C8" s="57" t="s">
        <v>74</v>
      </c>
      <c r="D8" s="63">
        <v>11800</v>
      </c>
      <c r="E8" s="57" t="s">
        <v>75</v>
      </c>
      <c r="F8" s="71" t="s">
        <v>69</v>
      </c>
      <c r="G8" s="57" t="s">
        <v>70</v>
      </c>
      <c r="J8" s="118" t="s">
        <v>79</v>
      </c>
      <c r="K8" s="123">
        <f>SUMIFS($D$2:$D$54,$C$2:$C$54,J8)</f>
        <v>36754.730000000003</v>
      </c>
      <c r="L8" s="119">
        <v>173</v>
      </c>
      <c r="M8" s="117">
        <f t="shared" si="1"/>
        <v>212.45508670520232</v>
      </c>
      <c r="N8" s="118" t="s">
        <v>71</v>
      </c>
      <c r="O8" s="49"/>
    </row>
    <row r="9" spans="2:15" x14ac:dyDescent="0.35">
      <c r="B9" s="62">
        <v>45719</v>
      </c>
      <c r="C9" s="57" t="s">
        <v>80</v>
      </c>
      <c r="D9" s="63">
        <v>8500</v>
      </c>
      <c r="E9" s="57" t="s">
        <v>81</v>
      </c>
      <c r="F9" s="71" t="s">
        <v>69</v>
      </c>
      <c r="G9" s="57" t="s">
        <v>72</v>
      </c>
      <c r="J9" s="118" t="s">
        <v>82</v>
      </c>
      <c r="K9" s="123">
        <f>SUMIFS($D$2:$D$54,$C$2:$C$54,J9)</f>
        <v>151096.46</v>
      </c>
      <c r="L9" s="119">
        <v>660</v>
      </c>
      <c r="M9" s="117">
        <f t="shared" si="1"/>
        <v>228.93403030303028</v>
      </c>
      <c r="N9" s="118" t="s">
        <v>71</v>
      </c>
      <c r="O9" s="49"/>
    </row>
    <row r="10" spans="2:15" x14ac:dyDescent="0.35">
      <c r="B10" s="62">
        <v>45719</v>
      </c>
      <c r="C10" s="57" t="s">
        <v>83</v>
      </c>
      <c r="D10" s="63">
        <v>1200</v>
      </c>
      <c r="E10" s="57" t="s">
        <v>81</v>
      </c>
      <c r="F10" s="71" t="s">
        <v>69</v>
      </c>
      <c r="G10" s="57" t="s">
        <v>84</v>
      </c>
      <c r="J10" s="114" t="s">
        <v>10</v>
      </c>
      <c r="K10" s="115">
        <f t="shared" si="0"/>
        <v>96764.760000000009</v>
      </c>
      <c r="L10" s="116">
        <v>390</v>
      </c>
      <c r="M10" s="117">
        <f t="shared" si="1"/>
        <v>248.11476923076924</v>
      </c>
      <c r="N10" s="114" t="s">
        <v>71</v>
      </c>
    </row>
    <row r="11" spans="2:15" x14ac:dyDescent="0.35">
      <c r="B11" s="62">
        <v>45719</v>
      </c>
      <c r="C11" s="57" t="s">
        <v>11</v>
      </c>
      <c r="D11" s="63">
        <v>42450</v>
      </c>
      <c r="E11" s="57" t="s">
        <v>81</v>
      </c>
      <c r="F11" s="71" t="s">
        <v>69</v>
      </c>
      <c r="G11" s="57" t="s">
        <v>84</v>
      </c>
      <c r="J11" s="114" t="s">
        <v>11</v>
      </c>
      <c r="K11" s="122">
        <f t="shared" si="0"/>
        <v>158890.93</v>
      </c>
      <c r="L11" s="116">
        <v>706</v>
      </c>
      <c r="M11" s="117">
        <f t="shared" si="1"/>
        <v>225.05797450424927</v>
      </c>
      <c r="N11" s="114" t="s">
        <v>71</v>
      </c>
    </row>
    <row r="12" spans="2:15" x14ac:dyDescent="0.35">
      <c r="B12" s="62">
        <v>45769</v>
      </c>
      <c r="C12" s="57" t="s">
        <v>2</v>
      </c>
      <c r="D12" s="63">
        <v>21467.360000000001</v>
      </c>
      <c r="E12" s="57" t="s">
        <v>85</v>
      </c>
      <c r="F12" s="71" t="s">
        <v>69</v>
      </c>
      <c r="G12" s="57" t="s">
        <v>86</v>
      </c>
      <c r="J12" s="114" t="s">
        <v>12</v>
      </c>
      <c r="K12" s="122">
        <f t="shared" si="0"/>
        <v>149939.51999999999</v>
      </c>
      <c r="L12" s="116">
        <f>201+396</f>
        <v>597</v>
      </c>
      <c r="M12" s="117">
        <f t="shared" si="1"/>
        <v>251.15497487437185</v>
      </c>
      <c r="N12" s="114" t="s">
        <v>71</v>
      </c>
      <c r="O12" t="s">
        <v>271</v>
      </c>
    </row>
    <row r="13" spans="2:15" x14ac:dyDescent="0.35">
      <c r="B13" s="62">
        <v>45769</v>
      </c>
      <c r="C13" s="57" t="s">
        <v>74</v>
      </c>
      <c r="D13" s="63">
        <v>19888.7</v>
      </c>
      <c r="E13" s="57" t="s">
        <v>85</v>
      </c>
      <c r="F13" s="71" t="s">
        <v>69</v>
      </c>
      <c r="G13" s="57" t="s">
        <v>86</v>
      </c>
      <c r="J13" s="114" t="s">
        <v>13</v>
      </c>
      <c r="K13" s="122">
        <f t="shared" si="0"/>
        <v>215018.9</v>
      </c>
      <c r="L13" s="116">
        <v>966</v>
      </c>
      <c r="M13" s="117">
        <f t="shared" si="1"/>
        <v>222.5868530020704</v>
      </c>
      <c r="N13" s="114" t="s">
        <v>71</v>
      </c>
    </row>
    <row r="14" spans="2:15" x14ac:dyDescent="0.35">
      <c r="B14" s="62">
        <v>45748</v>
      </c>
      <c r="C14" s="57" t="s">
        <v>19</v>
      </c>
      <c r="D14" s="63">
        <v>15950</v>
      </c>
      <c r="E14" s="57" t="s">
        <v>87</v>
      </c>
      <c r="F14" s="71" t="s">
        <v>69</v>
      </c>
      <c r="G14" s="57" t="s">
        <v>88</v>
      </c>
      <c r="J14" s="114" t="s">
        <v>14</v>
      </c>
      <c r="K14" s="122">
        <f t="shared" si="0"/>
        <v>96921.91</v>
      </c>
      <c r="L14" s="116">
        <v>825</v>
      </c>
      <c r="M14" s="117">
        <f t="shared" si="1"/>
        <v>117.48110303030303</v>
      </c>
      <c r="N14" s="114" t="s">
        <v>71</v>
      </c>
    </row>
    <row r="15" spans="2:15" x14ac:dyDescent="0.35">
      <c r="B15" s="62">
        <v>45748</v>
      </c>
      <c r="C15" s="57" t="s">
        <v>73</v>
      </c>
      <c r="D15" s="63">
        <v>37900</v>
      </c>
      <c r="E15" s="57" t="s">
        <v>87</v>
      </c>
      <c r="F15" s="71" t="s">
        <v>69</v>
      </c>
      <c r="G15" s="57" t="s">
        <v>88</v>
      </c>
      <c r="J15" s="114" t="s">
        <v>15</v>
      </c>
      <c r="K15" s="122">
        <f t="shared" si="0"/>
        <v>20905.02</v>
      </c>
      <c r="L15" s="116">
        <v>111</v>
      </c>
      <c r="M15" s="117">
        <f t="shared" si="1"/>
        <v>188.33351351351351</v>
      </c>
      <c r="N15" s="114" t="s">
        <v>71</v>
      </c>
    </row>
    <row r="16" spans="2:15" x14ac:dyDescent="0.35">
      <c r="B16" s="62">
        <v>45748</v>
      </c>
      <c r="C16" s="57" t="s">
        <v>11</v>
      </c>
      <c r="D16" s="63">
        <v>22350</v>
      </c>
      <c r="E16" s="57" t="s">
        <v>87</v>
      </c>
      <c r="F16" s="71" t="s">
        <v>69</v>
      </c>
      <c r="G16" s="57" t="s">
        <v>84</v>
      </c>
      <c r="J16" s="114" t="s">
        <v>16</v>
      </c>
      <c r="K16" s="115">
        <f t="shared" si="0"/>
        <v>0</v>
      </c>
      <c r="L16" s="116">
        <v>11.5</v>
      </c>
      <c r="M16" s="117">
        <f t="shared" si="1"/>
        <v>0</v>
      </c>
      <c r="N16" s="114" t="s">
        <v>71</v>
      </c>
      <c r="O16" t="s">
        <v>89</v>
      </c>
    </row>
    <row r="17" spans="2:15" x14ac:dyDescent="0.35">
      <c r="B17" s="62">
        <v>45755</v>
      </c>
      <c r="C17" s="57" t="s">
        <v>90</v>
      </c>
      <c r="D17" s="63">
        <v>20384</v>
      </c>
      <c r="E17" s="57" t="s">
        <v>90</v>
      </c>
      <c r="F17" s="71" t="s">
        <v>69</v>
      </c>
      <c r="G17" s="57" t="s">
        <v>91</v>
      </c>
      <c r="J17" s="118" t="s">
        <v>17</v>
      </c>
      <c r="K17" s="123">
        <f t="shared" si="0"/>
        <v>50806.25</v>
      </c>
      <c r="L17" s="116">
        <v>251</v>
      </c>
      <c r="M17" s="117">
        <f t="shared" ref="M17" si="2">K17/L17</f>
        <v>202.41533864541833</v>
      </c>
      <c r="N17" s="114" t="s">
        <v>71</v>
      </c>
    </row>
    <row r="18" spans="2:15" x14ac:dyDescent="0.35">
      <c r="B18" s="62">
        <v>45755</v>
      </c>
      <c r="C18" s="57" t="s">
        <v>90</v>
      </c>
      <c r="D18" s="63">
        <v>2924.43</v>
      </c>
      <c r="E18" s="57" t="s">
        <v>90</v>
      </c>
      <c r="F18" s="71" t="s">
        <v>69</v>
      </c>
      <c r="G18" s="57" t="s">
        <v>92</v>
      </c>
      <c r="J18" s="114" t="s">
        <v>18</v>
      </c>
      <c r="K18" s="122">
        <f t="shared" si="0"/>
        <v>37030.959999999999</v>
      </c>
      <c r="L18" s="116">
        <v>370</v>
      </c>
      <c r="M18" s="117">
        <f>K18/L18</f>
        <v>100.08367567567568</v>
      </c>
      <c r="N18" s="114" t="s">
        <v>71</v>
      </c>
    </row>
    <row r="19" spans="2:15" x14ac:dyDescent="0.35">
      <c r="B19" s="62">
        <v>45777</v>
      </c>
      <c r="C19" s="57" t="s">
        <v>13</v>
      </c>
      <c r="D19" s="63">
        <v>80100</v>
      </c>
      <c r="E19" s="57" t="s">
        <v>93</v>
      </c>
      <c r="F19" s="71" t="s">
        <v>69</v>
      </c>
      <c r="G19" s="57" t="s">
        <v>88</v>
      </c>
      <c r="J19" s="114" t="s">
        <v>19</v>
      </c>
      <c r="K19" s="122">
        <f t="shared" si="0"/>
        <v>37615.47</v>
      </c>
      <c r="L19" s="116">
        <v>159</v>
      </c>
      <c r="M19" s="117">
        <f>K19/L19</f>
        <v>236.57528301886794</v>
      </c>
      <c r="N19" s="114" t="s">
        <v>71</v>
      </c>
    </row>
    <row r="20" spans="2:15" x14ac:dyDescent="0.35">
      <c r="B20" s="62">
        <v>45805</v>
      </c>
      <c r="C20" s="57" t="s">
        <v>18</v>
      </c>
      <c r="D20" s="63">
        <v>10650</v>
      </c>
      <c r="E20" s="57" t="s">
        <v>94</v>
      </c>
      <c r="F20" s="71" t="s">
        <v>69</v>
      </c>
      <c r="G20" s="57" t="s">
        <v>76</v>
      </c>
      <c r="J20" s="118" t="s">
        <v>80</v>
      </c>
      <c r="K20" s="122">
        <f t="shared" si="0"/>
        <v>16111.26</v>
      </c>
      <c r="L20" s="119">
        <v>82</v>
      </c>
      <c r="M20" s="117">
        <f>K20/L20</f>
        <v>196.47878048780487</v>
      </c>
      <c r="N20" s="114" t="s">
        <v>71</v>
      </c>
    </row>
    <row r="21" spans="2:15" x14ac:dyDescent="0.35">
      <c r="B21" s="62">
        <v>45824</v>
      </c>
      <c r="C21" s="57" t="s">
        <v>5</v>
      </c>
      <c r="D21" s="63">
        <v>5614.1</v>
      </c>
      <c r="F21" s="71" t="s">
        <v>95</v>
      </c>
      <c r="G21" s="57" t="s">
        <v>96</v>
      </c>
      <c r="J21" s="118" t="s">
        <v>83</v>
      </c>
      <c r="K21" s="115">
        <f t="shared" si="0"/>
        <v>3215.26</v>
      </c>
      <c r="L21" s="119">
        <v>16</v>
      </c>
      <c r="M21" s="117">
        <f>K21/L21</f>
        <v>200.95375000000001</v>
      </c>
      <c r="N21" s="118" t="s">
        <v>71</v>
      </c>
    </row>
    <row r="22" spans="2:15" x14ac:dyDescent="0.35">
      <c r="B22" s="62">
        <v>45824</v>
      </c>
      <c r="C22" s="57" t="s">
        <v>82</v>
      </c>
      <c r="D22" s="63">
        <v>19745.150000000001</v>
      </c>
      <c r="F22" s="71" t="s">
        <v>95</v>
      </c>
      <c r="G22" s="57" t="s">
        <v>97</v>
      </c>
      <c r="J22" s="57" t="s">
        <v>90</v>
      </c>
      <c r="K22" s="76">
        <f t="shared" ref="K22" si="3">SUMIFS($D$2:$D$40,$C$2:$C$40,J22)</f>
        <v>23308.43</v>
      </c>
      <c r="M22" s="85"/>
    </row>
    <row r="23" spans="2:15" x14ac:dyDescent="0.35">
      <c r="B23" s="62">
        <v>45839</v>
      </c>
      <c r="C23" s="57" t="s">
        <v>12</v>
      </c>
      <c r="D23" s="63">
        <v>30800</v>
      </c>
      <c r="E23" s="57" t="s">
        <v>98</v>
      </c>
      <c r="F23" s="71" t="s">
        <v>69</v>
      </c>
      <c r="G23" s="57" t="s">
        <v>72</v>
      </c>
    </row>
    <row r="24" spans="2:15" x14ac:dyDescent="0.35">
      <c r="B24" s="62">
        <v>45839</v>
      </c>
      <c r="C24" s="57" t="s">
        <v>13</v>
      </c>
      <c r="D24" s="63">
        <v>23950</v>
      </c>
      <c r="E24" s="57" t="s">
        <v>98</v>
      </c>
      <c r="F24" s="71" t="s">
        <v>69</v>
      </c>
      <c r="G24" s="57" t="s">
        <v>88</v>
      </c>
      <c r="J24" s="57" t="s">
        <v>272</v>
      </c>
      <c r="K24" s="58">
        <v>10100</v>
      </c>
    </row>
    <row r="25" spans="2:15" x14ac:dyDescent="0.35">
      <c r="B25" s="62">
        <v>45839</v>
      </c>
      <c r="C25" s="57" t="s">
        <v>19</v>
      </c>
      <c r="D25" s="63">
        <v>6650</v>
      </c>
      <c r="E25" s="57" t="s">
        <v>98</v>
      </c>
      <c r="F25" s="71" t="s">
        <v>69</v>
      </c>
      <c r="G25" s="57" t="s">
        <v>88</v>
      </c>
      <c r="J25" s="57" t="s">
        <v>33</v>
      </c>
      <c r="K25" s="58">
        <f>SUM(D2:D54)+K24</f>
        <v>1466347.9000000001</v>
      </c>
      <c r="M25" s="121"/>
    </row>
    <row r="26" spans="2:15" x14ac:dyDescent="0.35">
      <c r="B26" s="62">
        <v>45839</v>
      </c>
      <c r="C26" s="57" t="s">
        <v>73</v>
      </c>
      <c r="D26" s="63">
        <v>21050</v>
      </c>
      <c r="E26" s="57" t="s">
        <v>98</v>
      </c>
      <c r="F26" s="71" t="s">
        <v>69</v>
      </c>
      <c r="G26" s="57" t="s">
        <v>88</v>
      </c>
      <c r="J26" s="57" t="s">
        <v>99</v>
      </c>
      <c r="K26" s="58">
        <v>1466347.9</v>
      </c>
    </row>
    <row r="27" spans="2:15" x14ac:dyDescent="0.35">
      <c r="B27" s="62">
        <v>45839</v>
      </c>
      <c r="C27" s="57" t="s">
        <v>10</v>
      </c>
      <c r="D27" s="63">
        <v>55500</v>
      </c>
      <c r="E27" s="57" t="s">
        <v>98</v>
      </c>
      <c r="F27" s="71" t="s">
        <v>69</v>
      </c>
      <c r="G27" s="63" t="s">
        <v>72</v>
      </c>
      <c r="J27" s="57" t="s">
        <v>100</v>
      </c>
      <c r="K27" s="58">
        <f>K26-K25</f>
        <v>0</v>
      </c>
      <c r="M27" s="58">
        <f>K26-K24</f>
        <v>1456247.9</v>
      </c>
      <c r="O27" s="57"/>
    </row>
    <row r="28" spans="2:15" x14ac:dyDescent="0.35">
      <c r="B28" s="62">
        <v>45839</v>
      </c>
      <c r="C28" s="57" t="s">
        <v>11</v>
      </c>
      <c r="D28" s="63">
        <v>14650</v>
      </c>
      <c r="E28" s="57" t="s">
        <v>98</v>
      </c>
      <c r="F28" s="71" t="s">
        <v>69</v>
      </c>
      <c r="G28" s="63" t="s">
        <v>84</v>
      </c>
    </row>
    <row r="29" spans="2:15" x14ac:dyDescent="0.35">
      <c r="B29" s="62">
        <v>45839</v>
      </c>
      <c r="C29" s="57" t="s">
        <v>14</v>
      </c>
      <c r="D29" s="63">
        <v>34200</v>
      </c>
      <c r="E29" s="57" t="s">
        <v>98</v>
      </c>
      <c r="F29" s="71" t="s">
        <v>69</v>
      </c>
      <c r="G29" s="63" t="s">
        <v>76</v>
      </c>
      <c r="J29" s="57" t="s">
        <v>101</v>
      </c>
      <c r="K29" s="58">
        <f>Revenue!AB174</f>
        <v>1432939.4699999997</v>
      </c>
      <c r="O29" s="57"/>
    </row>
    <row r="30" spans="2:15" x14ac:dyDescent="0.35">
      <c r="B30" s="62">
        <v>45847</v>
      </c>
      <c r="C30" s="57" t="s">
        <v>17</v>
      </c>
      <c r="D30" s="63">
        <v>8399.26</v>
      </c>
      <c r="F30" s="71" t="s">
        <v>103</v>
      </c>
      <c r="G30" s="57" t="s">
        <v>104</v>
      </c>
      <c r="J30" s="57" t="s">
        <v>102</v>
      </c>
      <c r="K30" s="58">
        <f>K29-K25</f>
        <v>-33408.4300000004</v>
      </c>
    </row>
    <row r="31" spans="2:15" x14ac:dyDescent="0.35">
      <c r="B31" s="62">
        <v>45847</v>
      </c>
      <c r="C31" s="57" t="s">
        <v>5</v>
      </c>
      <c r="D31" s="63">
        <v>6750.75</v>
      </c>
      <c r="F31" s="71" t="s">
        <v>103</v>
      </c>
      <c r="G31" s="57" t="s">
        <v>96</v>
      </c>
    </row>
    <row r="32" spans="2:15" x14ac:dyDescent="0.35">
      <c r="B32" s="62">
        <v>45847</v>
      </c>
      <c r="C32" s="57" t="s">
        <v>77</v>
      </c>
      <c r="D32" s="63">
        <v>15476.56</v>
      </c>
      <c r="F32" s="71" t="s">
        <v>103</v>
      </c>
    </row>
    <row r="33" spans="2:13" x14ac:dyDescent="0.35">
      <c r="B33" s="62">
        <v>45847</v>
      </c>
      <c r="C33" s="57" t="s">
        <v>78</v>
      </c>
      <c r="D33" s="63">
        <v>3474.81</v>
      </c>
      <c r="F33" s="71" t="s">
        <v>103</v>
      </c>
      <c r="K33" s="57"/>
      <c r="L33" s="57"/>
      <c r="M33" s="57"/>
    </row>
    <row r="34" spans="2:13" x14ac:dyDescent="0.35">
      <c r="B34" s="62">
        <v>45847</v>
      </c>
      <c r="C34" s="57" t="s">
        <v>82</v>
      </c>
      <c r="D34" s="63">
        <v>25924</v>
      </c>
      <c r="F34" s="71" t="s">
        <v>103</v>
      </c>
      <c r="G34" s="63"/>
    </row>
    <row r="35" spans="2:13" x14ac:dyDescent="0.35">
      <c r="B35" s="62">
        <v>45867</v>
      </c>
      <c r="C35" s="57" t="s">
        <v>12</v>
      </c>
      <c r="D35" s="63">
        <v>52800</v>
      </c>
      <c r="E35" s="57" t="s">
        <v>105</v>
      </c>
      <c r="F35" s="71" t="s">
        <v>69</v>
      </c>
      <c r="G35" s="63" t="s">
        <v>72</v>
      </c>
    </row>
    <row r="36" spans="2:13" x14ac:dyDescent="0.35">
      <c r="B36" s="62">
        <v>45867</v>
      </c>
      <c r="C36" s="57" t="s">
        <v>13</v>
      </c>
      <c r="D36" s="63">
        <v>20400</v>
      </c>
      <c r="E36" s="57" t="s">
        <v>105</v>
      </c>
      <c r="F36" s="71" t="s">
        <v>69</v>
      </c>
      <c r="G36" s="63" t="s">
        <v>88</v>
      </c>
    </row>
    <row r="37" spans="2:13" x14ac:dyDescent="0.35">
      <c r="B37" s="62">
        <v>45873</v>
      </c>
      <c r="C37" s="57" t="s">
        <v>5</v>
      </c>
      <c r="D37" s="63">
        <v>30148.14</v>
      </c>
      <c r="F37" s="71" t="s">
        <v>95</v>
      </c>
      <c r="G37" s="57" t="s">
        <v>106</v>
      </c>
    </row>
    <row r="38" spans="2:13" x14ac:dyDescent="0.35">
      <c r="B38" s="62">
        <v>45869</v>
      </c>
      <c r="C38" s="57" t="s">
        <v>15</v>
      </c>
      <c r="D38" s="63">
        <v>9305.02</v>
      </c>
      <c r="E38" s="57" t="s">
        <v>68</v>
      </c>
      <c r="F38" s="57" t="s">
        <v>69</v>
      </c>
      <c r="G38" s="57" t="s">
        <v>107</v>
      </c>
    </row>
    <row r="39" spans="2:13" x14ac:dyDescent="0.35">
      <c r="B39" s="62">
        <v>45869</v>
      </c>
      <c r="C39" s="57" t="s">
        <v>80</v>
      </c>
      <c r="D39" s="63">
        <v>7611.26</v>
      </c>
      <c r="E39" s="57" t="s">
        <v>81</v>
      </c>
      <c r="F39" s="71" t="s">
        <v>69</v>
      </c>
      <c r="G39" s="57" t="s">
        <v>107</v>
      </c>
    </row>
    <row r="40" spans="2:13" x14ac:dyDescent="0.35">
      <c r="B40" s="62">
        <v>45907</v>
      </c>
      <c r="C40" s="57" t="s">
        <v>13</v>
      </c>
      <c r="D40" s="63">
        <v>90568.9</v>
      </c>
      <c r="E40" s="57" t="s">
        <v>264</v>
      </c>
      <c r="F40" s="71" t="s">
        <v>69</v>
      </c>
      <c r="G40" s="63" t="s">
        <v>267</v>
      </c>
    </row>
    <row r="41" spans="2:13" x14ac:dyDescent="0.35">
      <c r="B41" s="62">
        <v>45907</v>
      </c>
      <c r="C41" s="57" t="s">
        <v>19</v>
      </c>
      <c r="D41" s="63">
        <v>15015.47</v>
      </c>
      <c r="E41" s="57" t="s">
        <v>265</v>
      </c>
      <c r="F41" s="71" t="s">
        <v>69</v>
      </c>
      <c r="G41" s="63" t="s">
        <v>267</v>
      </c>
    </row>
    <row r="42" spans="2:13" x14ac:dyDescent="0.35">
      <c r="B42" s="62">
        <v>45907</v>
      </c>
      <c r="C42" s="57" t="s">
        <v>73</v>
      </c>
      <c r="D42" s="63">
        <v>40171.25</v>
      </c>
      <c r="E42" s="57" t="s">
        <v>266</v>
      </c>
      <c r="F42" s="71" t="s">
        <v>69</v>
      </c>
      <c r="G42" s="63" t="s">
        <v>267</v>
      </c>
    </row>
    <row r="43" spans="2:13" x14ac:dyDescent="0.35">
      <c r="B43" s="62">
        <v>45919</v>
      </c>
      <c r="C43" s="57" t="s">
        <v>83</v>
      </c>
      <c r="D43" s="63">
        <v>2015.26</v>
      </c>
      <c r="E43" s="57" t="s">
        <v>81</v>
      </c>
      <c r="F43" s="71" t="s">
        <v>69</v>
      </c>
      <c r="G43" s="63" t="s">
        <v>268</v>
      </c>
    </row>
    <row r="44" spans="2:13" x14ac:dyDescent="0.35">
      <c r="B44" s="62">
        <v>45919</v>
      </c>
      <c r="C44" s="57" t="s">
        <v>11</v>
      </c>
      <c r="D44" s="63">
        <v>79440.929999999993</v>
      </c>
      <c r="E44" s="57" t="s">
        <v>269</v>
      </c>
      <c r="F44" s="71" t="s">
        <v>69</v>
      </c>
      <c r="G44" s="63" t="s">
        <v>268</v>
      </c>
    </row>
    <row r="45" spans="2:13" x14ac:dyDescent="0.35">
      <c r="B45" s="62">
        <v>45933</v>
      </c>
      <c r="C45" s="57" t="s">
        <v>17</v>
      </c>
      <c r="D45" s="63">
        <v>42406.99</v>
      </c>
      <c r="E45" s="57" t="s">
        <v>270</v>
      </c>
      <c r="F45" s="71" t="s">
        <v>69</v>
      </c>
      <c r="G45" s="63"/>
    </row>
    <row r="46" spans="2:13" x14ac:dyDescent="0.35">
      <c r="B46" s="62">
        <v>45949</v>
      </c>
      <c r="C46" s="57" t="s">
        <v>12</v>
      </c>
      <c r="D46" s="63">
        <v>22933.23</v>
      </c>
      <c r="E46" s="57" t="s">
        <v>270</v>
      </c>
      <c r="F46" s="71" t="s">
        <v>69</v>
      </c>
      <c r="G46" s="63"/>
    </row>
    <row r="47" spans="2:13" x14ac:dyDescent="0.35">
      <c r="B47" s="62">
        <v>45949</v>
      </c>
      <c r="C47" s="57" t="s">
        <v>10</v>
      </c>
      <c r="D47" s="63">
        <v>41264.76</v>
      </c>
      <c r="E47" s="57" t="s">
        <v>270</v>
      </c>
      <c r="F47" s="71" t="s">
        <v>69</v>
      </c>
      <c r="G47" s="63"/>
    </row>
    <row r="48" spans="2:13" x14ac:dyDescent="0.35">
      <c r="B48" s="62">
        <v>45949</v>
      </c>
      <c r="C48" s="57" t="s">
        <v>12</v>
      </c>
      <c r="D48" s="63">
        <v>43406.29</v>
      </c>
      <c r="E48" s="57" t="s">
        <v>270</v>
      </c>
      <c r="F48" s="71" t="s">
        <v>69</v>
      </c>
      <c r="G48" s="63"/>
    </row>
    <row r="49" spans="2:7" x14ac:dyDescent="0.35">
      <c r="B49" s="62">
        <v>45982</v>
      </c>
      <c r="C49" s="57" t="s">
        <v>77</v>
      </c>
      <c r="D49" s="63">
        <v>91951.57</v>
      </c>
      <c r="E49" s="57" t="s">
        <v>270</v>
      </c>
      <c r="F49" s="71" t="s">
        <v>95</v>
      </c>
      <c r="G49" s="63"/>
    </row>
    <row r="50" spans="2:7" x14ac:dyDescent="0.35">
      <c r="B50" s="62">
        <v>45982</v>
      </c>
      <c r="C50" s="57" t="s">
        <v>78</v>
      </c>
      <c r="D50" s="63">
        <v>21274.799999999999</v>
      </c>
      <c r="E50" s="57" t="s">
        <v>270</v>
      </c>
      <c r="F50" s="71" t="s">
        <v>95</v>
      </c>
      <c r="G50" s="63"/>
    </row>
    <row r="51" spans="2:7" x14ac:dyDescent="0.35">
      <c r="B51" s="62">
        <v>45982</v>
      </c>
      <c r="C51" s="57" t="s">
        <v>79</v>
      </c>
      <c r="D51" s="63">
        <v>36754.730000000003</v>
      </c>
      <c r="E51" s="57" t="s">
        <v>270</v>
      </c>
      <c r="F51" s="71" t="s">
        <v>95</v>
      </c>
      <c r="G51" s="63"/>
    </row>
    <row r="52" spans="2:7" x14ac:dyDescent="0.35">
      <c r="B52" s="62">
        <v>45982</v>
      </c>
      <c r="C52" s="57" t="s">
        <v>82</v>
      </c>
      <c r="D52" s="63">
        <v>105427.31</v>
      </c>
      <c r="E52" s="57" t="s">
        <v>270</v>
      </c>
      <c r="F52" s="71" t="s">
        <v>95</v>
      </c>
      <c r="G52" s="63"/>
    </row>
    <row r="53" spans="2:7" x14ac:dyDescent="0.35">
      <c r="B53" s="62">
        <v>45985</v>
      </c>
      <c r="C53" s="57" t="s">
        <v>14</v>
      </c>
      <c r="D53" s="63">
        <v>49071.91</v>
      </c>
      <c r="E53" s="57" t="s">
        <v>270</v>
      </c>
      <c r="F53" s="57" t="s">
        <v>69</v>
      </c>
    </row>
    <row r="54" spans="2:7" ht="14.25" customHeight="1" x14ac:dyDescent="0.35">
      <c r="B54" s="62">
        <v>45985</v>
      </c>
      <c r="C54" s="57" t="s">
        <v>18</v>
      </c>
      <c r="D54" s="63">
        <v>17680.96</v>
      </c>
      <c r="E54" s="57" t="s">
        <v>270</v>
      </c>
      <c r="F54" s="57" t="s">
        <v>69</v>
      </c>
    </row>
    <row r="55" spans="2:7" x14ac:dyDescent="0.35">
      <c r="B55" s="6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A605-D8F0-4585-B6DA-6C524A4AF016}">
  <dimension ref="B1:S87"/>
  <sheetViews>
    <sheetView topLeftCell="H1" zoomScaleNormal="100" zoomScalePageLayoutView="17" workbookViewId="0">
      <selection activeCell="S2" sqref="S2"/>
    </sheetView>
  </sheetViews>
  <sheetFormatPr defaultRowHeight="14.5" x14ac:dyDescent="0.35"/>
  <cols>
    <col min="2" max="2" width="10.1796875" style="57" bestFit="1" customWidth="1"/>
    <col min="3" max="3" width="12.54296875" style="57" bestFit="1" customWidth="1"/>
    <col min="4" max="4" width="16.90625" style="57" bestFit="1" customWidth="1"/>
    <col min="5" max="5" width="9.81640625" style="63" bestFit="1" customWidth="1"/>
    <col min="6" max="6" width="9.1796875" style="57"/>
    <col min="7" max="7" width="14.08984375" style="74" bestFit="1" customWidth="1"/>
    <col min="8" max="8" width="8.453125" style="58" bestFit="1" customWidth="1"/>
    <col min="9" max="9" width="20" style="57" bestFit="1" customWidth="1"/>
    <col min="10" max="10" width="38.1796875" style="57" bestFit="1" customWidth="1"/>
    <col min="11" max="11" width="26.7265625" style="83" bestFit="1" customWidth="1"/>
    <col min="13" max="13" width="22.453125" style="57" bestFit="1" customWidth="1"/>
    <col min="14" max="14" width="17.7265625" style="58" bestFit="1" customWidth="1"/>
    <col min="15" max="15" width="12.26953125" style="58" bestFit="1" customWidth="1"/>
    <col min="16" max="16" width="6.08984375" style="68" bestFit="1" customWidth="1"/>
    <col min="17" max="17" width="17.7265625" style="58" customWidth="1"/>
    <col min="18" max="18" width="13" style="57" bestFit="1" customWidth="1"/>
  </cols>
  <sheetData>
    <row r="1" spans="2:19" s="1" customFormat="1" x14ac:dyDescent="0.35">
      <c r="B1" s="2" t="s">
        <v>55</v>
      </c>
      <c r="C1" s="2"/>
      <c r="D1" s="2" t="s">
        <v>56</v>
      </c>
      <c r="E1" s="61" t="s">
        <v>57</v>
      </c>
      <c r="F1" s="2" t="s">
        <v>58</v>
      </c>
      <c r="G1" s="73" t="s">
        <v>59</v>
      </c>
      <c r="H1" s="70" t="s">
        <v>60</v>
      </c>
      <c r="I1" s="2" t="s">
        <v>61</v>
      </c>
      <c r="J1" s="2" t="s">
        <v>62</v>
      </c>
      <c r="K1" s="35" t="s">
        <v>67</v>
      </c>
      <c r="M1" s="59" t="s">
        <v>56</v>
      </c>
      <c r="N1" s="60" t="s">
        <v>108</v>
      </c>
      <c r="O1" s="60" t="s">
        <v>101</v>
      </c>
      <c r="P1" s="67" t="s">
        <v>59</v>
      </c>
      <c r="Q1" s="60" t="s">
        <v>109</v>
      </c>
      <c r="R1" s="59" t="s">
        <v>66</v>
      </c>
      <c r="S1" s="1" t="s">
        <v>67</v>
      </c>
    </row>
    <row r="2" spans="2:19" x14ac:dyDescent="0.35">
      <c r="B2" s="62">
        <v>45310</v>
      </c>
      <c r="C2" s="57">
        <f>MONTH(B2)</f>
        <v>1</v>
      </c>
      <c r="D2" s="57" t="s">
        <v>14</v>
      </c>
      <c r="E2" s="63">
        <v>13500</v>
      </c>
      <c r="F2" s="57" t="s">
        <v>110</v>
      </c>
      <c r="H2" s="58" t="e">
        <f t="shared" ref="H2:H26" si="0">+E2/G2</f>
        <v>#DIV/0!</v>
      </c>
      <c r="I2" s="71" t="s">
        <v>69</v>
      </c>
      <c r="J2" s="57" t="s">
        <v>111</v>
      </c>
      <c r="K2" s="83" t="s">
        <v>112</v>
      </c>
      <c r="M2" s="75" t="s">
        <v>2</v>
      </c>
      <c r="N2" s="76">
        <f t="shared" ref="N2:N17" si="1">SUMIFS($E$2:$E$62,$D$2:$D$62,M2)</f>
        <v>16953.940000000002</v>
      </c>
      <c r="O2" s="76">
        <f>N2</f>
        <v>16953.940000000002</v>
      </c>
      <c r="P2" s="77">
        <f t="shared" ref="P2:P12" si="2">SUMIFS($G$2:$G$62,$D$2:$D$62,M2)</f>
        <v>101</v>
      </c>
      <c r="Q2" s="76">
        <f t="shared" ref="Q2:Q13" si="3">O2/P2</f>
        <v>167.86079207920795</v>
      </c>
      <c r="R2" s="75" t="s">
        <v>71</v>
      </c>
      <c r="S2" t="s">
        <v>113</v>
      </c>
    </row>
    <row r="3" spans="2:19" x14ac:dyDescent="0.35">
      <c r="B3" s="62">
        <v>45320</v>
      </c>
      <c r="C3" s="57">
        <f t="shared" ref="C3:C41" si="4">MONTH(B3)</f>
        <v>1</v>
      </c>
      <c r="D3" s="57" t="s">
        <v>14</v>
      </c>
      <c r="E3" s="63">
        <v>29000</v>
      </c>
      <c r="F3" s="57" t="s">
        <v>114</v>
      </c>
      <c r="H3" s="58" t="e">
        <f t="shared" si="0"/>
        <v>#DIV/0!</v>
      </c>
      <c r="I3" s="71" t="s">
        <v>69</v>
      </c>
      <c r="J3" s="57" t="s">
        <v>115</v>
      </c>
      <c r="K3" s="83" t="s">
        <v>112</v>
      </c>
      <c r="M3" s="75" t="s">
        <v>73</v>
      </c>
      <c r="N3" s="76">
        <f t="shared" si="1"/>
        <v>99990.21</v>
      </c>
      <c r="O3" s="76">
        <f t="shared" ref="O3:O17" si="5">N3</f>
        <v>99990.21</v>
      </c>
      <c r="P3" s="77">
        <f t="shared" si="2"/>
        <v>362</v>
      </c>
      <c r="Q3" s="76">
        <f t="shared" si="3"/>
        <v>276.2160497237569</v>
      </c>
      <c r="R3" s="75" t="s">
        <v>71</v>
      </c>
    </row>
    <row r="4" spans="2:19" x14ac:dyDescent="0.35">
      <c r="B4" s="62">
        <v>45320</v>
      </c>
      <c r="C4" s="57">
        <f t="shared" si="4"/>
        <v>1</v>
      </c>
      <c r="D4" s="57" t="s">
        <v>18</v>
      </c>
      <c r="E4" s="63">
        <v>4750</v>
      </c>
      <c r="F4" s="57" t="s">
        <v>114</v>
      </c>
      <c r="H4" s="58" t="e">
        <f t="shared" si="0"/>
        <v>#DIV/0!</v>
      </c>
      <c r="I4" s="71" t="s">
        <v>69</v>
      </c>
      <c r="J4" s="57" t="s">
        <v>116</v>
      </c>
      <c r="M4" s="75" t="s">
        <v>74</v>
      </c>
      <c r="N4" s="76">
        <f t="shared" si="1"/>
        <v>58847.759999999995</v>
      </c>
      <c r="O4" s="76">
        <f t="shared" si="5"/>
        <v>58847.759999999995</v>
      </c>
      <c r="P4" s="77">
        <f t="shared" si="2"/>
        <v>175</v>
      </c>
      <c r="Q4" s="76">
        <f>O4/P4</f>
        <v>336.27291428571425</v>
      </c>
      <c r="R4" s="75" t="s">
        <v>71</v>
      </c>
    </row>
    <row r="5" spans="2:19" x14ac:dyDescent="0.35">
      <c r="B5" s="62">
        <v>45320</v>
      </c>
      <c r="C5" s="57">
        <f t="shared" si="4"/>
        <v>1</v>
      </c>
      <c r="D5" s="57" t="s">
        <v>15</v>
      </c>
      <c r="E5" s="63">
        <v>7800</v>
      </c>
      <c r="F5" s="57" t="s">
        <v>114</v>
      </c>
      <c r="G5" s="81">
        <v>64</v>
      </c>
      <c r="H5" s="58">
        <f t="shared" si="0"/>
        <v>121.875</v>
      </c>
      <c r="I5" s="71" t="s">
        <v>69</v>
      </c>
      <c r="J5" s="57" t="s">
        <v>117</v>
      </c>
      <c r="M5" s="75" t="s">
        <v>5</v>
      </c>
      <c r="N5" s="76">
        <f t="shared" si="1"/>
        <v>53708.04</v>
      </c>
      <c r="O5" s="76">
        <f t="shared" si="5"/>
        <v>53708.04</v>
      </c>
      <c r="P5" s="77">
        <f t="shared" si="2"/>
        <v>471</v>
      </c>
      <c r="Q5" s="76">
        <f t="shared" si="3"/>
        <v>114.02980891719746</v>
      </c>
      <c r="R5" s="75" t="s">
        <v>71</v>
      </c>
    </row>
    <row r="6" spans="2:19" x14ac:dyDescent="0.35">
      <c r="B6" s="62">
        <v>45320</v>
      </c>
      <c r="C6" s="57">
        <f t="shared" si="4"/>
        <v>1</v>
      </c>
      <c r="D6" s="57" t="s">
        <v>2</v>
      </c>
      <c r="E6" s="63">
        <v>6150</v>
      </c>
      <c r="F6" s="57" t="s">
        <v>114</v>
      </c>
      <c r="G6" s="84"/>
      <c r="H6" s="58" t="e">
        <f t="shared" si="0"/>
        <v>#DIV/0!</v>
      </c>
      <c r="I6" s="71" t="s">
        <v>69</v>
      </c>
      <c r="J6" s="57" t="s">
        <v>118</v>
      </c>
      <c r="M6" s="75" t="s">
        <v>77</v>
      </c>
      <c r="N6" s="76">
        <f t="shared" si="1"/>
        <v>77097.899999999994</v>
      </c>
      <c r="O6" s="76">
        <f t="shared" si="5"/>
        <v>77097.899999999994</v>
      </c>
      <c r="P6" s="77">
        <f t="shared" si="2"/>
        <v>444.75</v>
      </c>
      <c r="Q6" s="76">
        <f t="shared" si="3"/>
        <v>173.3510961214165</v>
      </c>
      <c r="R6" s="75" t="s">
        <v>71</v>
      </c>
      <c r="S6" s="49"/>
    </row>
    <row r="7" spans="2:19" x14ac:dyDescent="0.35">
      <c r="B7" s="62">
        <v>45320</v>
      </c>
      <c r="C7" s="57">
        <f t="shared" si="4"/>
        <v>1</v>
      </c>
      <c r="D7" s="57" t="s">
        <v>74</v>
      </c>
      <c r="E7" s="63">
        <v>35700</v>
      </c>
      <c r="F7" s="57" t="s">
        <v>114</v>
      </c>
      <c r="G7" s="84"/>
      <c r="H7" s="58" t="e">
        <f>+E7/G7</f>
        <v>#DIV/0!</v>
      </c>
      <c r="I7" s="71" t="s">
        <v>69</v>
      </c>
      <c r="J7" s="57" t="s">
        <v>119</v>
      </c>
      <c r="M7" s="75" t="s">
        <v>78</v>
      </c>
      <c r="N7" s="76">
        <f t="shared" si="1"/>
        <v>33627.270000000004</v>
      </c>
      <c r="O7" s="76">
        <f t="shared" si="5"/>
        <v>33627.270000000004</v>
      </c>
      <c r="P7" s="77">
        <f t="shared" si="2"/>
        <v>174</v>
      </c>
      <c r="Q7" s="76">
        <f t="shared" si="3"/>
        <v>193.26017241379313</v>
      </c>
      <c r="R7" s="75" t="s">
        <v>71</v>
      </c>
      <c r="S7" s="49"/>
    </row>
    <row r="8" spans="2:19" x14ac:dyDescent="0.35">
      <c r="B8" s="62">
        <v>45320</v>
      </c>
      <c r="C8" s="57">
        <f t="shared" si="4"/>
        <v>1</v>
      </c>
      <c r="D8" s="57" t="s">
        <v>11</v>
      </c>
      <c r="E8" s="63">
        <v>23450</v>
      </c>
      <c r="F8" s="57" t="s">
        <v>114</v>
      </c>
      <c r="H8" s="58" t="e">
        <f t="shared" si="0"/>
        <v>#DIV/0!</v>
      </c>
      <c r="I8" s="71" t="s">
        <v>69</v>
      </c>
      <c r="J8" s="57" t="s">
        <v>120</v>
      </c>
      <c r="M8" s="75" t="s">
        <v>79</v>
      </c>
      <c r="N8" s="76">
        <f t="shared" si="1"/>
        <v>57047.46</v>
      </c>
      <c r="O8" s="76">
        <f t="shared" si="5"/>
        <v>57047.46</v>
      </c>
      <c r="P8" s="77">
        <f t="shared" si="2"/>
        <v>285.5</v>
      </c>
      <c r="Q8" s="76">
        <f t="shared" si="3"/>
        <v>199.81597197898424</v>
      </c>
      <c r="R8" s="75" t="s">
        <v>71</v>
      </c>
      <c r="S8" s="49"/>
    </row>
    <row r="9" spans="2:19" x14ac:dyDescent="0.35">
      <c r="B9" s="62">
        <v>45351</v>
      </c>
      <c r="C9" s="57">
        <f t="shared" si="4"/>
        <v>2</v>
      </c>
      <c r="D9" s="57" t="s">
        <v>11</v>
      </c>
      <c r="E9" s="63">
        <v>4800</v>
      </c>
      <c r="F9" s="57" t="s">
        <v>121</v>
      </c>
      <c r="H9" s="58" t="e">
        <f t="shared" si="0"/>
        <v>#DIV/0!</v>
      </c>
      <c r="I9" s="71" t="s">
        <v>69</v>
      </c>
      <c r="J9" s="57" t="s">
        <v>122</v>
      </c>
      <c r="M9" s="75" t="s">
        <v>82</v>
      </c>
      <c r="N9" s="76">
        <f t="shared" si="1"/>
        <v>121392.20999999999</v>
      </c>
      <c r="O9" s="76">
        <f t="shared" si="5"/>
        <v>121392.20999999999</v>
      </c>
      <c r="P9" s="77">
        <f t="shared" si="2"/>
        <v>650</v>
      </c>
      <c r="Q9" s="76">
        <f t="shared" si="3"/>
        <v>186.75724615384615</v>
      </c>
      <c r="R9" s="75" t="s">
        <v>71</v>
      </c>
      <c r="S9" s="49"/>
    </row>
    <row r="10" spans="2:19" x14ac:dyDescent="0.35">
      <c r="B10" s="62">
        <v>45414</v>
      </c>
      <c r="C10" s="57">
        <f t="shared" si="4"/>
        <v>5</v>
      </c>
      <c r="D10" s="57" t="s">
        <v>73</v>
      </c>
      <c r="E10" s="63">
        <v>47750</v>
      </c>
      <c r="F10" s="57" t="s">
        <v>123</v>
      </c>
      <c r="G10" s="80"/>
      <c r="H10" s="58" t="e">
        <f t="shared" si="0"/>
        <v>#DIV/0!</v>
      </c>
      <c r="I10" s="71" t="s">
        <v>69</v>
      </c>
      <c r="J10" s="57" t="s">
        <v>124</v>
      </c>
      <c r="M10" s="75" t="s">
        <v>10</v>
      </c>
      <c r="N10" s="76">
        <f t="shared" si="1"/>
        <v>59959.64</v>
      </c>
      <c r="O10" s="76">
        <f t="shared" si="5"/>
        <v>59959.64</v>
      </c>
      <c r="P10" s="77">
        <f t="shared" si="2"/>
        <v>571</v>
      </c>
      <c r="Q10" s="76">
        <f t="shared" si="3"/>
        <v>105.00812609457093</v>
      </c>
      <c r="R10" s="75" t="s">
        <v>71</v>
      </c>
    </row>
    <row r="11" spans="2:19" x14ac:dyDescent="0.35">
      <c r="B11" s="62">
        <v>45426</v>
      </c>
      <c r="C11" s="57">
        <f t="shared" si="4"/>
        <v>5</v>
      </c>
      <c r="D11" s="57" t="s">
        <v>2</v>
      </c>
      <c r="E11" s="63">
        <v>10803.94</v>
      </c>
      <c r="F11" s="57" t="s">
        <v>71</v>
      </c>
      <c r="G11" s="82">
        <v>101</v>
      </c>
      <c r="H11" s="58">
        <f t="shared" si="0"/>
        <v>106.96970297029704</v>
      </c>
      <c r="I11" s="71" t="s">
        <v>69</v>
      </c>
      <c r="J11" s="57" t="s">
        <v>125</v>
      </c>
      <c r="M11" s="75" t="s">
        <v>11</v>
      </c>
      <c r="N11" s="76">
        <f t="shared" si="1"/>
        <v>126287.85</v>
      </c>
      <c r="O11" s="76">
        <f t="shared" si="5"/>
        <v>126287.85</v>
      </c>
      <c r="P11" s="77">
        <f t="shared" si="2"/>
        <v>668</v>
      </c>
      <c r="Q11" s="76">
        <f t="shared" si="3"/>
        <v>189.05366766467066</v>
      </c>
      <c r="R11" s="75" t="s">
        <v>71</v>
      </c>
    </row>
    <row r="12" spans="2:19" x14ac:dyDescent="0.35">
      <c r="B12" s="62">
        <v>45426</v>
      </c>
      <c r="C12" s="57">
        <f t="shared" si="4"/>
        <v>5</v>
      </c>
      <c r="D12" s="57" t="s">
        <v>74</v>
      </c>
      <c r="E12" s="63">
        <v>23147.759999999998</v>
      </c>
      <c r="F12" s="57" t="s">
        <v>71</v>
      </c>
      <c r="G12" s="82">
        <v>175</v>
      </c>
      <c r="H12" s="58">
        <f t="shared" si="0"/>
        <v>132.27291428571428</v>
      </c>
      <c r="I12" s="71" t="s">
        <v>69</v>
      </c>
      <c r="J12" s="57" t="s">
        <v>125</v>
      </c>
      <c r="M12" s="75" t="s">
        <v>12</v>
      </c>
      <c r="N12" s="76">
        <f t="shared" si="1"/>
        <v>97214.59</v>
      </c>
      <c r="O12" s="76">
        <f t="shared" si="5"/>
        <v>97214.59</v>
      </c>
      <c r="P12" s="77">
        <f t="shared" si="2"/>
        <v>447</v>
      </c>
      <c r="Q12" s="76">
        <f t="shared" si="3"/>
        <v>217.48230425055928</v>
      </c>
      <c r="R12" s="75" t="s">
        <v>71</v>
      </c>
    </row>
    <row r="13" spans="2:19" x14ac:dyDescent="0.35">
      <c r="B13" s="62">
        <v>45442</v>
      </c>
      <c r="C13" s="57">
        <f t="shared" si="4"/>
        <v>5</v>
      </c>
      <c r="D13" s="57" t="s">
        <v>13</v>
      </c>
      <c r="E13" s="63">
        <v>14700</v>
      </c>
      <c r="F13" s="57" t="s">
        <v>126</v>
      </c>
      <c r="H13" s="58" t="e">
        <f t="shared" si="0"/>
        <v>#DIV/0!</v>
      </c>
      <c r="I13" s="71" t="s">
        <v>69</v>
      </c>
      <c r="J13" s="57" t="s">
        <v>127</v>
      </c>
      <c r="M13" s="75" t="s">
        <v>13</v>
      </c>
      <c r="N13" s="76">
        <f t="shared" si="1"/>
        <v>59801.75</v>
      </c>
      <c r="O13" s="76">
        <f t="shared" si="5"/>
        <v>59801.75</v>
      </c>
      <c r="P13" s="77">
        <f>144+160</f>
        <v>304</v>
      </c>
      <c r="Q13" s="76">
        <f t="shared" si="3"/>
        <v>196.71628289473685</v>
      </c>
      <c r="R13" s="75" t="s">
        <v>71</v>
      </c>
    </row>
    <row r="14" spans="2:19" x14ac:dyDescent="0.35">
      <c r="B14" s="62">
        <v>45442</v>
      </c>
      <c r="C14" s="57">
        <f t="shared" si="4"/>
        <v>5</v>
      </c>
      <c r="D14" s="57" t="s">
        <v>12</v>
      </c>
      <c r="E14" s="63">
        <v>47050</v>
      </c>
      <c r="F14" s="57" t="s">
        <v>126</v>
      </c>
      <c r="H14" s="58" t="e">
        <f t="shared" si="0"/>
        <v>#DIV/0!</v>
      </c>
      <c r="I14" s="71" t="s">
        <v>69</v>
      </c>
      <c r="J14" s="57" t="s">
        <v>128</v>
      </c>
      <c r="M14" s="75" t="s">
        <v>14</v>
      </c>
      <c r="N14" s="76">
        <f t="shared" si="1"/>
        <v>108339.59</v>
      </c>
      <c r="O14" s="76">
        <f t="shared" si="5"/>
        <v>108339.59</v>
      </c>
      <c r="P14" s="77">
        <f>SUMIFS($G$2:$G$62,$D$2:$D$62,M14)</f>
        <v>1011</v>
      </c>
      <c r="Q14" s="76">
        <f>O14/P14</f>
        <v>107.16082096933728</v>
      </c>
      <c r="R14" s="75" t="s">
        <v>71</v>
      </c>
    </row>
    <row r="15" spans="2:19" x14ac:dyDescent="0.35">
      <c r="B15" s="62">
        <v>45442</v>
      </c>
      <c r="C15" s="57">
        <f t="shared" si="4"/>
        <v>5</v>
      </c>
      <c r="D15" s="57" t="s">
        <v>11</v>
      </c>
      <c r="E15" s="63">
        <v>12350</v>
      </c>
      <c r="F15" s="57" t="s">
        <v>126</v>
      </c>
      <c r="H15" s="58" t="e">
        <f t="shared" si="0"/>
        <v>#DIV/0!</v>
      </c>
      <c r="I15" s="71" t="s">
        <v>69</v>
      </c>
      <c r="J15" s="57" t="s">
        <v>129</v>
      </c>
      <c r="M15" s="75" t="s">
        <v>15</v>
      </c>
      <c r="N15" s="76">
        <f t="shared" si="1"/>
        <v>13113.51</v>
      </c>
      <c r="O15" s="76">
        <f t="shared" si="5"/>
        <v>13113.51</v>
      </c>
      <c r="P15" s="77">
        <f>SUMIFS($G$2:$G$62,$D$2:$D$62,M15)</f>
        <v>64</v>
      </c>
      <c r="Q15" s="76">
        <f t="shared" ref="Q15:Q17" si="6">O15/P15</f>
        <v>204.89859375</v>
      </c>
      <c r="R15" s="75" t="s">
        <v>71</v>
      </c>
    </row>
    <row r="16" spans="2:19" x14ac:dyDescent="0.35">
      <c r="B16" s="62">
        <v>45475</v>
      </c>
      <c r="C16" s="57">
        <f t="shared" si="4"/>
        <v>7</v>
      </c>
      <c r="D16" s="57" t="s">
        <v>13</v>
      </c>
      <c r="E16" s="63">
        <v>19000</v>
      </c>
      <c r="F16" s="57" t="s">
        <v>130</v>
      </c>
      <c r="H16" s="58" t="e">
        <f t="shared" si="0"/>
        <v>#DIV/0!</v>
      </c>
      <c r="I16" s="71" t="s">
        <v>69</v>
      </c>
      <c r="J16" s="57" t="s">
        <v>131</v>
      </c>
      <c r="M16" s="75" t="s">
        <v>18</v>
      </c>
      <c r="N16" s="76">
        <f t="shared" si="1"/>
        <v>5767.58</v>
      </c>
      <c r="O16" s="76">
        <f t="shared" si="5"/>
        <v>5767.58</v>
      </c>
      <c r="P16" s="77">
        <f>SUMIFS($G$2:$G$62,$D$2:$D$62,M16)</f>
        <v>91</v>
      </c>
      <c r="Q16" s="76">
        <f t="shared" si="6"/>
        <v>63.38</v>
      </c>
      <c r="R16" s="75" t="s">
        <v>71</v>
      </c>
    </row>
    <row r="17" spans="2:19" x14ac:dyDescent="0.35">
      <c r="B17" s="62">
        <v>45475</v>
      </c>
      <c r="C17" s="57">
        <f t="shared" si="4"/>
        <v>7</v>
      </c>
      <c r="D17" s="57" t="s">
        <v>73</v>
      </c>
      <c r="E17" s="63">
        <v>11400</v>
      </c>
      <c r="F17" s="57" t="s">
        <v>130</v>
      </c>
      <c r="H17" s="58" t="e">
        <f t="shared" si="0"/>
        <v>#DIV/0!</v>
      </c>
      <c r="I17" s="71" t="s">
        <v>69</v>
      </c>
      <c r="J17" s="57" t="s">
        <v>132</v>
      </c>
      <c r="M17" s="75" t="s">
        <v>19</v>
      </c>
      <c r="N17" s="76">
        <f t="shared" si="1"/>
        <v>900</v>
      </c>
      <c r="O17" s="76">
        <f t="shared" si="5"/>
        <v>900</v>
      </c>
      <c r="P17" s="77">
        <f>SUMIFS($G$2:$G$62,$D$2:$D$62,M17)</f>
        <v>5</v>
      </c>
      <c r="Q17" s="76">
        <f t="shared" si="6"/>
        <v>180</v>
      </c>
      <c r="R17" s="75" t="s">
        <v>71</v>
      </c>
    </row>
    <row r="18" spans="2:19" x14ac:dyDescent="0.35">
      <c r="B18" s="62">
        <v>45475</v>
      </c>
      <c r="C18" s="57">
        <f t="shared" si="4"/>
        <v>7</v>
      </c>
      <c r="D18" s="57" t="s">
        <v>14</v>
      </c>
      <c r="E18" s="63">
        <v>34350</v>
      </c>
      <c r="F18" s="57" t="s">
        <v>130</v>
      </c>
      <c r="H18" s="58" t="e">
        <f t="shared" si="0"/>
        <v>#DIV/0!</v>
      </c>
      <c r="I18" s="71" t="s">
        <v>69</v>
      </c>
      <c r="J18" s="57" t="s">
        <v>133</v>
      </c>
    </row>
    <row r="19" spans="2:19" x14ac:dyDescent="0.35">
      <c r="B19" s="62">
        <v>45475</v>
      </c>
      <c r="C19" s="57">
        <f t="shared" si="4"/>
        <v>7</v>
      </c>
      <c r="D19" s="57" t="s">
        <v>11</v>
      </c>
      <c r="E19" s="63">
        <v>17400</v>
      </c>
      <c r="F19" s="57" t="s">
        <v>130</v>
      </c>
      <c r="H19" s="58" t="e">
        <f t="shared" si="0"/>
        <v>#DIV/0!</v>
      </c>
      <c r="I19" s="71" t="s">
        <v>69</v>
      </c>
      <c r="J19" s="57" t="s">
        <v>134</v>
      </c>
    </row>
    <row r="20" spans="2:19" x14ac:dyDescent="0.35">
      <c r="B20" s="62">
        <v>45484</v>
      </c>
      <c r="C20" s="57">
        <f t="shared" si="4"/>
        <v>7</v>
      </c>
      <c r="D20" s="57" t="s">
        <v>19</v>
      </c>
      <c r="E20" s="63">
        <v>900</v>
      </c>
      <c r="F20" s="57" t="s">
        <v>71</v>
      </c>
      <c r="G20" s="81">
        <v>5</v>
      </c>
      <c r="H20" s="58">
        <f t="shared" si="0"/>
        <v>180</v>
      </c>
      <c r="I20" s="71" t="s">
        <v>135</v>
      </c>
      <c r="J20" s="57" t="s">
        <v>136</v>
      </c>
      <c r="M20" s="57" t="s">
        <v>137</v>
      </c>
      <c r="N20" s="58">
        <v>10093.6</v>
      </c>
    </row>
    <row r="21" spans="2:19" x14ac:dyDescent="0.35">
      <c r="B21" s="62">
        <v>45503</v>
      </c>
      <c r="C21" s="57">
        <f t="shared" si="4"/>
        <v>7</v>
      </c>
      <c r="D21" s="57" t="s">
        <v>73</v>
      </c>
      <c r="E21" s="63">
        <v>6300</v>
      </c>
      <c r="F21" s="57" t="s">
        <v>138</v>
      </c>
      <c r="H21" s="58" t="e">
        <f t="shared" si="0"/>
        <v>#DIV/0!</v>
      </c>
      <c r="I21" s="71" t="s">
        <v>69</v>
      </c>
      <c r="J21" s="57" t="s">
        <v>139</v>
      </c>
      <c r="M21" s="57" t="s">
        <v>140</v>
      </c>
      <c r="N21" s="58">
        <v>8246.2000000000007</v>
      </c>
    </row>
    <row r="22" spans="2:19" x14ac:dyDescent="0.35">
      <c r="B22" s="62">
        <v>45503</v>
      </c>
      <c r="C22" s="57">
        <f t="shared" si="4"/>
        <v>7</v>
      </c>
      <c r="D22" s="57" t="s">
        <v>10</v>
      </c>
      <c r="E22" s="63">
        <v>16250</v>
      </c>
      <c r="F22" s="57" t="s">
        <v>138</v>
      </c>
      <c r="H22" s="58" t="e">
        <f t="shared" si="0"/>
        <v>#DIV/0!</v>
      </c>
      <c r="I22" s="71" t="s">
        <v>69</v>
      </c>
      <c r="J22" s="57" t="s">
        <v>141</v>
      </c>
    </row>
    <row r="23" spans="2:19" x14ac:dyDescent="0.35">
      <c r="B23" s="62">
        <v>45516</v>
      </c>
      <c r="C23" s="57">
        <f t="shared" si="4"/>
        <v>8</v>
      </c>
      <c r="D23" s="57" t="s">
        <v>15</v>
      </c>
      <c r="E23" s="63">
        <v>5313.51</v>
      </c>
      <c r="F23" s="57" t="s">
        <v>71</v>
      </c>
      <c r="H23" s="58" t="e">
        <f t="shared" si="0"/>
        <v>#DIV/0!</v>
      </c>
      <c r="I23" s="71" t="s">
        <v>69</v>
      </c>
      <c r="J23" s="57" t="s">
        <v>107</v>
      </c>
      <c r="M23" s="57" t="s">
        <v>33</v>
      </c>
      <c r="N23" s="58">
        <f>SUM(N2:N21)</f>
        <v>1008389.0999999999</v>
      </c>
    </row>
    <row r="24" spans="2:19" x14ac:dyDescent="0.35">
      <c r="B24" s="62">
        <v>45538</v>
      </c>
      <c r="C24" s="57">
        <f t="shared" si="4"/>
        <v>9</v>
      </c>
      <c r="D24" s="57" t="s">
        <v>11</v>
      </c>
      <c r="E24" s="63">
        <v>68287.850000000006</v>
      </c>
      <c r="F24" s="57" t="s">
        <v>71</v>
      </c>
      <c r="G24" s="81">
        <v>668</v>
      </c>
      <c r="H24" s="58">
        <f t="shared" si="0"/>
        <v>102.22732035928145</v>
      </c>
      <c r="I24" s="71" t="s">
        <v>69</v>
      </c>
      <c r="J24" s="57" t="s">
        <v>142</v>
      </c>
      <c r="M24" s="57" t="s">
        <v>99</v>
      </c>
      <c r="N24" s="58">
        <v>1008389.1</v>
      </c>
    </row>
    <row r="25" spans="2:19" x14ac:dyDescent="0.35">
      <c r="B25" s="62">
        <v>45539</v>
      </c>
      <c r="C25" s="57">
        <f t="shared" si="4"/>
        <v>9</v>
      </c>
      <c r="D25" s="57" t="s">
        <v>5</v>
      </c>
      <c r="E25" s="63">
        <v>53708.04</v>
      </c>
      <c r="F25" s="57" t="s">
        <v>71</v>
      </c>
      <c r="G25" s="81">
        <v>471</v>
      </c>
      <c r="H25" s="58">
        <f t="shared" si="0"/>
        <v>114.02980891719746</v>
      </c>
      <c r="I25" s="71" t="s">
        <v>69</v>
      </c>
      <c r="J25" s="57" t="s">
        <v>143</v>
      </c>
      <c r="M25" s="57" t="s">
        <v>100</v>
      </c>
      <c r="N25" s="58">
        <f>N24-N23</f>
        <v>0</v>
      </c>
    </row>
    <row r="26" spans="2:19" x14ac:dyDescent="0.35">
      <c r="B26" s="62">
        <v>45558</v>
      </c>
      <c r="C26" s="57">
        <f t="shared" si="4"/>
        <v>9</v>
      </c>
      <c r="D26" s="57" t="s">
        <v>77</v>
      </c>
      <c r="E26" s="63">
        <v>35448.730000000003</v>
      </c>
      <c r="F26" s="57" t="s">
        <v>144</v>
      </c>
      <c r="H26" s="58" t="e">
        <f t="shared" si="0"/>
        <v>#DIV/0!</v>
      </c>
      <c r="I26" s="71" t="s">
        <v>69</v>
      </c>
      <c r="J26" s="63" t="s">
        <v>145</v>
      </c>
      <c r="S26" s="57"/>
    </row>
    <row r="27" spans="2:19" x14ac:dyDescent="0.35">
      <c r="B27" s="62">
        <v>45558</v>
      </c>
      <c r="C27" s="57">
        <f t="shared" si="4"/>
        <v>9</v>
      </c>
      <c r="D27" s="57" t="s">
        <v>78</v>
      </c>
      <c r="E27" s="63">
        <v>16121.25</v>
      </c>
      <c r="F27" s="57" t="s">
        <v>144</v>
      </c>
      <c r="H27" s="58" t="e">
        <f t="shared" ref="H27:H41" si="7">+E27/G27</f>
        <v>#DIV/0!</v>
      </c>
      <c r="I27" s="71" t="s">
        <v>69</v>
      </c>
      <c r="J27" s="63" t="s">
        <v>146</v>
      </c>
      <c r="M27" s="57" t="s">
        <v>101</v>
      </c>
      <c r="N27" s="58">
        <f>Revenue!AE155</f>
        <v>1008389.1</v>
      </c>
    </row>
    <row r="28" spans="2:19" x14ac:dyDescent="0.35">
      <c r="B28" s="62">
        <v>45558</v>
      </c>
      <c r="C28" s="57">
        <f t="shared" si="4"/>
        <v>9</v>
      </c>
      <c r="D28" s="57" t="s">
        <v>79</v>
      </c>
      <c r="E28" s="63">
        <v>27625.91</v>
      </c>
      <c r="F28" s="57" t="s">
        <v>144</v>
      </c>
      <c r="H28" s="58" t="e">
        <f t="shared" si="7"/>
        <v>#DIV/0!</v>
      </c>
      <c r="I28" s="71" t="s">
        <v>69</v>
      </c>
      <c r="J28" s="63" t="s">
        <v>147</v>
      </c>
      <c r="M28" s="57" t="s">
        <v>102</v>
      </c>
      <c r="N28" s="58">
        <f>N27-N24</f>
        <v>0</v>
      </c>
      <c r="S28" s="57"/>
    </row>
    <row r="29" spans="2:19" x14ac:dyDescent="0.35">
      <c r="B29" s="62">
        <v>45558</v>
      </c>
      <c r="C29" s="57">
        <f t="shared" si="4"/>
        <v>9</v>
      </c>
      <c r="D29" s="57" t="s">
        <v>82</v>
      </c>
      <c r="E29" s="63">
        <v>56945.35</v>
      </c>
      <c r="F29" s="57" t="s">
        <v>144</v>
      </c>
      <c r="H29" s="58" t="e">
        <f t="shared" si="7"/>
        <v>#DIV/0!</v>
      </c>
      <c r="I29" s="71" t="s">
        <v>69</v>
      </c>
      <c r="J29" s="63" t="s">
        <v>148</v>
      </c>
    </row>
    <row r="30" spans="2:19" x14ac:dyDescent="0.35">
      <c r="B30" s="62">
        <v>45572</v>
      </c>
      <c r="C30" s="57">
        <f t="shared" si="4"/>
        <v>10</v>
      </c>
      <c r="D30" s="57" t="s">
        <v>13</v>
      </c>
      <c r="E30" s="63">
        <v>14269.2</v>
      </c>
      <c r="F30" s="57" t="s">
        <v>71</v>
      </c>
      <c r="G30" s="81">
        <v>160</v>
      </c>
      <c r="H30" s="58">
        <f t="shared" si="7"/>
        <v>89.182500000000005</v>
      </c>
      <c r="I30" s="71" t="s">
        <v>69</v>
      </c>
      <c r="J30" s="57" t="s">
        <v>149</v>
      </c>
      <c r="K30" s="83" t="s">
        <v>150</v>
      </c>
    </row>
    <row r="31" spans="2:19" x14ac:dyDescent="0.35">
      <c r="B31" s="62">
        <v>45572</v>
      </c>
      <c r="C31" s="57">
        <f t="shared" si="4"/>
        <v>10</v>
      </c>
      <c r="D31" s="57" t="s">
        <v>73</v>
      </c>
      <c r="E31" s="63">
        <v>13672.6</v>
      </c>
      <c r="F31" s="72" t="s">
        <v>71</v>
      </c>
      <c r="G31" s="81">
        <v>164</v>
      </c>
      <c r="H31" s="58">
        <f t="shared" si="7"/>
        <v>83.369512195121956</v>
      </c>
      <c r="I31" s="71" t="s">
        <v>69</v>
      </c>
      <c r="J31" s="57" t="s">
        <v>151</v>
      </c>
      <c r="K31" s="83" t="s">
        <v>150</v>
      </c>
    </row>
    <row r="32" spans="2:19" x14ac:dyDescent="0.35">
      <c r="B32" s="62">
        <v>45572</v>
      </c>
      <c r="C32" s="57">
        <f t="shared" si="4"/>
        <v>10</v>
      </c>
      <c r="D32" s="57" t="s">
        <v>13</v>
      </c>
      <c r="E32" s="63">
        <v>11832.55</v>
      </c>
      <c r="F32" s="57" t="s">
        <v>71</v>
      </c>
      <c r="G32" s="81">
        <v>144</v>
      </c>
      <c r="H32" s="58">
        <f t="shared" si="7"/>
        <v>82.170486111111103</v>
      </c>
      <c r="I32" s="71" t="s">
        <v>69</v>
      </c>
      <c r="J32" s="57" t="s">
        <v>152</v>
      </c>
      <c r="K32" s="83" t="s">
        <v>153</v>
      </c>
      <c r="N32" s="57"/>
      <c r="O32" s="57"/>
      <c r="P32" s="57"/>
      <c r="Q32" s="57"/>
    </row>
    <row r="33" spans="2:11" x14ac:dyDescent="0.35">
      <c r="B33" s="62">
        <v>45572</v>
      </c>
      <c r="C33" s="57">
        <f t="shared" si="4"/>
        <v>10</v>
      </c>
      <c r="D33" s="57" t="s">
        <v>73</v>
      </c>
      <c r="E33" s="63">
        <v>20867.61</v>
      </c>
      <c r="F33" s="72" t="s">
        <v>71</v>
      </c>
      <c r="G33" s="81">
        <v>198</v>
      </c>
      <c r="H33" s="58">
        <f t="shared" si="7"/>
        <v>105.3919696969697</v>
      </c>
      <c r="I33" s="71" t="s">
        <v>69</v>
      </c>
      <c r="J33" s="57" t="s">
        <v>154</v>
      </c>
      <c r="K33" s="83" t="s">
        <v>153</v>
      </c>
    </row>
    <row r="34" spans="2:11" x14ac:dyDescent="0.35">
      <c r="B34" s="62">
        <v>45583</v>
      </c>
      <c r="C34" s="57">
        <f t="shared" si="4"/>
        <v>10</v>
      </c>
      <c r="D34" s="57" t="s">
        <v>10</v>
      </c>
      <c r="E34" s="57">
        <v>43709.64</v>
      </c>
      <c r="F34" s="57" t="s">
        <v>71</v>
      </c>
      <c r="G34" s="81">
        <v>571</v>
      </c>
      <c r="H34" s="58">
        <f t="shared" si="7"/>
        <v>76.549281961471095</v>
      </c>
      <c r="I34" s="57" t="s">
        <v>69</v>
      </c>
      <c r="J34" s="63" t="s">
        <v>155</v>
      </c>
    </row>
    <row r="35" spans="2:11" x14ac:dyDescent="0.35">
      <c r="B35" s="62">
        <v>45595</v>
      </c>
      <c r="C35" s="57">
        <f t="shared" si="4"/>
        <v>10</v>
      </c>
      <c r="D35" s="57" t="s">
        <v>12</v>
      </c>
      <c r="E35" s="63">
        <v>50164.59</v>
      </c>
      <c r="F35" s="57" t="s">
        <v>71</v>
      </c>
      <c r="G35" s="81">
        <v>447</v>
      </c>
      <c r="H35" s="58">
        <f t="shared" si="7"/>
        <v>112.22503355704697</v>
      </c>
      <c r="I35" s="57" t="s">
        <v>69</v>
      </c>
      <c r="J35" s="57" t="s">
        <v>156</v>
      </c>
    </row>
    <row r="36" spans="2:11" x14ac:dyDescent="0.35">
      <c r="B36" s="62">
        <v>45614</v>
      </c>
      <c r="C36" s="57">
        <f t="shared" si="4"/>
        <v>11</v>
      </c>
      <c r="D36" s="57" t="s">
        <v>14</v>
      </c>
      <c r="E36" s="63">
        <v>31489.59</v>
      </c>
      <c r="F36" s="57" t="s">
        <v>71</v>
      </c>
      <c r="G36" s="81">
        <v>1011</v>
      </c>
      <c r="H36" s="58">
        <f t="shared" si="7"/>
        <v>31.146973293768546</v>
      </c>
      <c r="I36" s="57" t="s">
        <v>69</v>
      </c>
      <c r="J36" s="57" t="s">
        <v>157</v>
      </c>
      <c r="K36" s="83" t="s">
        <v>158</v>
      </c>
    </row>
    <row r="37" spans="2:11" x14ac:dyDescent="0.35">
      <c r="B37" s="62">
        <v>45614</v>
      </c>
      <c r="C37" s="57">
        <f t="shared" si="4"/>
        <v>11</v>
      </c>
      <c r="D37" s="57" t="s">
        <v>18</v>
      </c>
      <c r="E37" s="63">
        <v>1017.58</v>
      </c>
      <c r="F37" s="57" t="s">
        <v>71</v>
      </c>
      <c r="G37" s="81">
        <v>91</v>
      </c>
      <c r="H37" s="58">
        <f t="shared" si="7"/>
        <v>11.182197802197802</v>
      </c>
      <c r="I37" s="57" t="s">
        <v>69</v>
      </c>
      <c r="J37" s="57" t="s">
        <v>157</v>
      </c>
      <c r="K37" s="83" t="s">
        <v>158</v>
      </c>
    </row>
    <row r="38" spans="2:11" x14ac:dyDescent="0.35">
      <c r="B38" s="62">
        <v>45618</v>
      </c>
      <c r="C38" s="57">
        <f t="shared" si="4"/>
        <v>11</v>
      </c>
      <c r="D38" s="57" t="s">
        <v>77</v>
      </c>
      <c r="E38" s="63">
        <v>41649.17</v>
      </c>
      <c r="F38" s="57" t="s">
        <v>71</v>
      </c>
      <c r="G38" s="81">
        <v>444.75</v>
      </c>
      <c r="H38" s="58">
        <f t="shared" si="7"/>
        <v>93.646250702641936</v>
      </c>
      <c r="I38" s="57" t="s">
        <v>103</v>
      </c>
      <c r="J38" s="57" t="s">
        <v>159</v>
      </c>
    </row>
    <row r="39" spans="2:11" x14ac:dyDescent="0.35">
      <c r="B39" s="62">
        <v>45618</v>
      </c>
      <c r="C39" s="57">
        <f t="shared" si="4"/>
        <v>11</v>
      </c>
      <c r="D39" s="57" t="s">
        <v>78</v>
      </c>
      <c r="E39" s="63">
        <v>17506.02</v>
      </c>
      <c r="F39" s="57" t="s">
        <v>71</v>
      </c>
      <c r="G39" s="81">
        <v>174</v>
      </c>
      <c r="H39" s="58">
        <f t="shared" si="7"/>
        <v>100.60931034482759</v>
      </c>
      <c r="I39" s="57" t="s">
        <v>103</v>
      </c>
      <c r="J39" s="57" t="s">
        <v>160</v>
      </c>
    </row>
    <row r="40" spans="2:11" x14ac:dyDescent="0.35">
      <c r="B40" s="62">
        <v>45618</v>
      </c>
      <c r="C40" s="57">
        <f t="shared" si="4"/>
        <v>11</v>
      </c>
      <c r="D40" s="57" t="s">
        <v>79</v>
      </c>
      <c r="E40" s="63">
        <v>29421.55</v>
      </c>
      <c r="F40" s="57" t="s">
        <v>71</v>
      </c>
      <c r="G40" s="81">
        <v>285.5</v>
      </c>
      <c r="H40" s="58">
        <f t="shared" si="7"/>
        <v>103.05271453590193</v>
      </c>
      <c r="I40" s="57" t="s">
        <v>103</v>
      </c>
      <c r="J40" s="57" t="s">
        <v>161</v>
      </c>
    </row>
    <row r="41" spans="2:11" x14ac:dyDescent="0.35">
      <c r="B41" s="62">
        <v>45618</v>
      </c>
      <c r="C41" s="57">
        <f t="shared" si="4"/>
        <v>11</v>
      </c>
      <c r="D41" s="57" t="s">
        <v>82</v>
      </c>
      <c r="E41" s="63">
        <v>64446.86</v>
      </c>
      <c r="F41" s="57" t="s">
        <v>71</v>
      </c>
      <c r="G41" s="81">
        <v>650</v>
      </c>
      <c r="H41" s="58">
        <f t="shared" si="7"/>
        <v>99.149015384615382</v>
      </c>
      <c r="I41" s="57" t="s">
        <v>103</v>
      </c>
      <c r="J41" s="57" t="s">
        <v>162</v>
      </c>
    </row>
    <row r="59" spans="4:4" x14ac:dyDescent="0.35">
      <c r="D59" s="80"/>
    </row>
    <row r="60" spans="4:4" x14ac:dyDescent="0.35">
      <c r="D60" s="80"/>
    </row>
    <row r="61" spans="4:4" x14ac:dyDescent="0.35">
      <c r="D61" s="74"/>
    </row>
    <row r="62" spans="4:4" x14ac:dyDescent="0.35">
      <c r="D62" s="74"/>
    </row>
    <row r="63" spans="4:4" x14ac:dyDescent="0.35">
      <c r="D63" s="74"/>
    </row>
    <row r="64" spans="4:4" x14ac:dyDescent="0.35">
      <c r="D64" s="74"/>
    </row>
    <row r="65" spans="4:4" x14ac:dyDescent="0.35">
      <c r="D65" s="74"/>
    </row>
    <row r="66" spans="4:4" x14ac:dyDescent="0.35">
      <c r="D66" s="74">
        <v>5</v>
      </c>
    </row>
    <row r="67" spans="4:4" x14ac:dyDescent="0.35">
      <c r="D67" s="74">
        <f>1404/16</f>
        <v>87.75</v>
      </c>
    </row>
    <row r="68" spans="4:4" x14ac:dyDescent="0.35">
      <c r="D68" s="74"/>
    </row>
    <row r="69" spans="4:4" x14ac:dyDescent="0.35">
      <c r="D69" s="74"/>
    </row>
    <row r="70" spans="4:4" x14ac:dyDescent="0.35">
      <c r="D70" s="74">
        <f>668-D56-D57-D63-D65</f>
        <v>668</v>
      </c>
    </row>
    <row r="71" spans="4:4" x14ac:dyDescent="0.35">
      <c r="D71" s="74">
        <v>471</v>
      </c>
    </row>
    <row r="72" spans="4:4" x14ac:dyDescent="0.35">
      <c r="D72" s="74"/>
    </row>
    <row r="73" spans="4:4" x14ac:dyDescent="0.35">
      <c r="D73" s="74"/>
    </row>
    <row r="74" spans="4:4" x14ac:dyDescent="0.35">
      <c r="D74" s="74"/>
    </row>
    <row r="75" spans="4:4" x14ac:dyDescent="0.35">
      <c r="D75" s="74"/>
    </row>
    <row r="76" spans="4:4" x14ac:dyDescent="0.35">
      <c r="D76" s="81">
        <v>160</v>
      </c>
    </row>
    <row r="77" spans="4:4" x14ac:dyDescent="0.35">
      <c r="D77" s="81">
        <v>164</v>
      </c>
    </row>
    <row r="78" spans="4:4" x14ac:dyDescent="0.35">
      <c r="D78" s="81">
        <v>144</v>
      </c>
    </row>
    <row r="79" spans="4:4" x14ac:dyDescent="0.35">
      <c r="D79" s="81">
        <v>198</v>
      </c>
    </row>
    <row r="80" spans="4:4" x14ac:dyDescent="0.35">
      <c r="D80" s="81">
        <v>571</v>
      </c>
    </row>
    <row r="81" spans="4:4" x14ac:dyDescent="0.35">
      <c r="D81" s="81">
        <v>447</v>
      </c>
    </row>
    <row r="82" spans="4:4" x14ac:dyDescent="0.35">
      <c r="D82" s="81">
        <v>1011</v>
      </c>
    </row>
    <row r="83" spans="4:4" x14ac:dyDescent="0.35">
      <c r="D83" s="81">
        <v>91</v>
      </c>
    </row>
    <row r="84" spans="4:4" x14ac:dyDescent="0.35">
      <c r="D84" s="81">
        <v>444.75</v>
      </c>
    </row>
    <row r="85" spans="4:4" x14ac:dyDescent="0.35">
      <c r="D85" s="81">
        <v>174</v>
      </c>
    </row>
    <row r="86" spans="4:4" x14ac:dyDescent="0.35">
      <c r="D86" s="81">
        <v>285.5</v>
      </c>
    </row>
    <row r="87" spans="4:4" x14ac:dyDescent="0.35">
      <c r="D87" s="81">
        <v>650</v>
      </c>
    </row>
  </sheetData>
  <phoneticPr fontId="17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71812-ADE2-471B-BBCF-8A58073AC632}">
  <dimension ref="B2:K63"/>
  <sheetViews>
    <sheetView workbookViewId="0">
      <selection activeCell="F20" sqref="F20"/>
    </sheetView>
  </sheetViews>
  <sheetFormatPr defaultRowHeight="14.5" x14ac:dyDescent="0.35"/>
  <cols>
    <col min="2" max="2" width="25" bestFit="1" customWidth="1"/>
    <col min="4" max="4" width="9.54296875" bestFit="1" customWidth="1"/>
    <col min="5" max="5" width="14.36328125" bestFit="1" customWidth="1"/>
    <col min="7" max="7" width="9.6328125" bestFit="1" customWidth="1"/>
    <col min="11" max="11" width="36.26953125" customWidth="1"/>
  </cols>
  <sheetData>
    <row r="2" spans="2:11" x14ac:dyDescent="0.35">
      <c r="G2" s="2" t="s">
        <v>33</v>
      </c>
      <c r="H2" s="2" t="s">
        <v>59</v>
      </c>
      <c r="I2" s="2" t="s">
        <v>60</v>
      </c>
      <c r="K2" s="51" t="s">
        <v>62</v>
      </c>
    </row>
    <row r="3" spans="2:11" x14ac:dyDescent="0.35">
      <c r="B3" s="7">
        <v>44951</v>
      </c>
      <c r="C3" t="s">
        <v>2</v>
      </c>
      <c r="D3" s="50">
        <v>13700</v>
      </c>
      <c r="E3" s="3" t="s">
        <v>110</v>
      </c>
      <c r="G3" s="50">
        <f>D3/0.75</f>
        <v>18266.666666666668</v>
      </c>
      <c r="H3" s="9">
        <f>(528+656)/16</f>
        <v>74</v>
      </c>
      <c r="I3" s="5">
        <f>G3/H3</f>
        <v>246.84684684684686</v>
      </c>
    </row>
    <row r="4" spans="2:11" x14ac:dyDescent="0.35">
      <c r="C4" t="s">
        <v>14</v>
      </c>
      <c r="D4" s="50">
        <v>26350</v>
      </c>
      <c r="E4" s="3" t="s">
        <v>110</v>
      </c>
      <c r="G4" s="50">
        <f t="shared" ref="G4:G11" si="0">D4/0.75</f>
        <v>35133.333333333336</v>
      </c>
      <c r="H4" s="9">
        <f>(176+480+2096)/16</f>
        <v>172</v>
      </c>
      <c r="I4" s="5">
        <f t="shared" ref="I4:I11" si="1">G4/H4</f>
        <v>204.26356589147289</v>
      </c>
      <c r="K4" t="s">
        <v>163</v>
      </c>
    </row>
    <row r="5" spans="2:11" x14ac:dyDescent="0.35">
      <c r="C5" t="s">
        <v>74</v>
      </c>
      <c r="D5" s="50">
        <v>23300</v>
      </c>
      <c r="E5" s="3" t="s">
        <v>110</v>
      </c>
      <c r="G5" s="50">
        <f t="shared" si="0"/>
        <v>31066.666666666668</v>
      </c>
      <c r="H5" s="9">
        <f>(768+992)/16</f>
        <v>110</v>
      </c>
      <c r="I5" s="5">
        <f t="shared" si="1"/>
        <v>282.42424242424244</v>
      </c>
    </row>
    <row r="6" spans="2:11" x14ac:dyDescent="0.35">
      <c r="D6" s="50"/>
      <c r="E6" s="3"/>
      <c r="G6" s="50"/>
      <c r="H6" s="9"/>
      <c r="I6" s="5"/>
    </row>
    <row r="7" spans="2:11" x14ac:dyDescent="0.35">
      <c r="B7" s="7">
        <v>44974</v>
      </c>
      <c r="C7" t="s">
        <v>2</v>
      </c>
      <c r="D7" s="50">
        <v>19500</v>
      </c>
      <c r="E7" s="3" t="s">
        <v>114</v>
      </c>
      <c r="G7" s="50">
        <f t="shared" si="0"/>
        <v>26000</v>
      </c>
      <c r="H7" s="9">
        <f>1552/16</f>
        <v>97</v>
      </c>
      <c r="I7" s="5">
        <f t="shared" si="1"/>
        <v>268.04123711340208</v>
      </c>
    </row>
    <row r="8" spans="2:11" x14ac:dyDescent="0.35">
      <c r="C8" t="s">
        <v>74</v>
      </c>
      <c r="D8" s="50">
        <v>15100</v>
      </c>
      <c r="E8" s="3" t="s">
        <v>114</v>
      </c>
      <c r="G8" s="50">
        <f t="shared" si="0"/>
        <v>20133.333333333332</v>
      </c>
      <c r="H8" s="9">
        <f>1640/16</f>
        <v>102.5</v>
      </c>
      <c r="I8" s="5">
        <f t="shared" si="1"/>
        <v>196.42276422764226</v>
      </c>
    </row>
    <row r="9" spans="2:11" x14ac:dyDescent="0.35">
      <c r="D9" s="50"/>
      <c r="E9" s="3"/>
      <c r="G9" s="50"/>
      <c r="H9" s="9"/>
      <c r="I9" s="5"/>
    </row>
    <row r="10" spans="2:11" x14ac:dyDescent="0.35">
      <c r="B10" s="7">
        <v>44999</v>
      </c>
      <c r="C10" t="s">
        <v>15</v>
      </c>
      <c r="D10" s="50">
        <v>5100</v>
      </c>
      <c r="E10" s="3" t="s">
        <v>121</v>
      </c>
      <c r="G10" s="50">
        <f>D10/0.75</f>
        <v>6800</v>
      </c>
      <c r="H10" s="9">
        <f>688/16</f>
        <v>43</v>
      </c>
      <c r="I10" s="5">
        <f t="shared" si="1"/>
        <v>158.13953488372093</v>
      </c>
      <c r="K10" t="s">
        <v>164</v>
      </c>
    </row>
    <row r="11" spans="2:11" x14ac:dyDescent="0.35">
      <c r="C11" t="s">
        <v>11</v>
      </c>
      <c r="D11" s="50">
        <v>48550</v>
      </c>
      <c r="E11" s="3" t="s">
        <v>121</v>
      </c>
      <c r="G11" s="50">
        <f t="shared" si="0"/>
        <v>64733.333333333336</v>
      </c>
      <c r="H11" s="9">
        <f>(2400+1600+1392)/16</f>
        <v>337</v>
      </c>
      <c r="I11" s="5">
        <f t="shared" si="1"/>
        <v>192.0870425321464</v>
      </c>
    </row>
    <row r="12" spans="2:11" x14ac:dyDescent="0.35">
      <c r="D12" s="50"/>
      <c r="E12" s="3"/>
      <c r="G12" s="50"/>
      <c r="H12" s="9"/>
      <c r="I12" s="5"/>
    </row>
    <row r="13" spans="2:11" x14ac:dyDescent="0.35">
      <c r="B13" s="7">
        <v>45029</v>
      </c>
      <c r="C13" t="s">
        <v>13</v>
      </c>
      <c r="D13" s="50">
        <v>28400</v>
      </c>
      <c r="E13" s="3" t="s">
        <v>165</v>
      </c>
      <c r="G13" s="50">
        <f t="shared" ref="G13:G14" si="2">D13/0.75</f>
        <v>37866.666666666664</v>
      </c>
      <c r="H13" s="9">
        <f>2304/16</f>
        <v>144</v>
      </c>
      <c r="I13" s="5">
        <f t="shared" ref="I13:I14" si="3">G13/H13</f>
        <v>262.96296296296293</v>
      </c>
      <c r="K13" t="s">
        <v>166</v>
      </c>
    </row>
    <row r="14" spans="2:11" x14ac:dyDescent="0.35">
      <c r="C14" t="s">
        <v>3</v>
      </c>
      <c r="D14" s="50">
        <v>20600</v>
      </c>
      <c r="E14" s="3" t="s">
        <v>165</v>
      </c>
      <c r="G14" s="50">
        <f t="shared" si="2"/>
        <v>27466.666666666668</v>
      </c>
      <c r="H14" s="9">
        <f>1544/16</f>
        <v>96.5</v>
      </c>
      <c r="I14" s="5">
        <f t="shared" si="3"/>
        <v>284.62867012089811</v>
      </c>
      <c r="K14" t="s">
        <v>167</v>
      </c>
    </row>
    <row r="15" spans="2:11" x14ac:dyDescent="0.35">
      <c r="D15" s="50"/>
      <c r="E15" s="3"/>
      <c r="G15" s="50"/>
      <c r="H15" s="9"/>
      <c r="I15" s="5"/>
    </row>
    <row r="16" spans="2:11" x14ac:dyDescent="0.35">
      <c r="B16" s="7">
        <v>45078</v>
      </c>
      <c r="C16" t="s">
        <v>2</v>
      </c>
      <c r="D16" s="50">
        <v>14042.32</v>
      </c>
      <c r="E16" s="3" t="s">
        <v>71</v>
      </c>
      <c r="G16" s="50"/>
      <c r="H16" s="9"/>
      <c r="I16" s="5"/>
    </row>
    <row r="17" spans="2:11" x14ac:dyDescent="0.35">
      <c r="C17" t="s">
        <v>4</v>
      </c>
      <c r="D17" s="50">
        <v>16736.919999999998</v>
      </c>
      <c r="E17" s="3" t="s">
        <v>71</v>
      </c>
      <c r="G17" s="50"/>
      <c r="H17" s="9"/>
      <c r="I17" s="5"/>
    </row>
    <row r="18" spans="2:11" x14ac:dyDescent="0.35">
      <c r="D18" s="50"/>
      <c r="E18" s="3"/>
      <c r="G18" s="50"/>
      <c r="H18" s="9"/>
      <c r="I18" s="5"/>
    </row>
    <row r="19" spans="2:11" x14ac:dyDescent="0.35">
      <c r="B19" s="7">
        <v>45092</v>
      </c>
      <c r="C19" t="s">
        <v>13</v>
      </c>
      <c r="D19" s="50">
        <v>14450</v>
      </c>
      <c r="E19" s="3" t="s">
        <v>126</v>
      </c>
      <c r="G19" s="50">
        <f t="shared" ref="G19:G20" si="4">D19/0.75</f>
        <v>19266.666666666668</v>
      </c>
      <c r="H19" s="9">
        <f>2528/16</f>
        <v>158</v>
      </c>
      <c r="I19" s="5">
        <f t="shared" ref="I19:I21" si="5">G19/H19</f>
        <v>121.94092827004221</v>
      </c>
      <c r="K19" t="s">
        <v>168</v>
      </c>
    </row>
    <row r="20" spans="2:11" x14ac:dyDescent="0.35">
      <c r="C20" t="s">
        <v>73</v>
      </c>
      <c r="D20" s="50">
        <v>12250</v>
      </c>
      <c r="E20" s="3" t="s">
        <v>126</v>
      </c>
      <c r="G20" s="50">
        <f t="shared" si="4"/>
        <v>16333.333333333334</v>
      </c>
      <c r="H20" s="9">
        <f>1388/16</f>
        <v>86.75</v>
      </c>
      <c r="I20" s="5">
        <f t="shared" si="5"/>
        <v>188.2804995196926</v>
      </c>
      <c r="K20" t="s">
        <v>169</v>
      </c>
    </row>
    <row r="21" spans="2:11" x14ac:dyDescent="0.35">
      <c r="C21" t="s">
        <v>14</v>
      </c>
      <c r="D21" s="50">
        <v>36600</v>
      </c>
      <c r="E21" s="3" t="s">
        <v>126</v>
      </c>
      <c r="G21" s="50">
        <f>D21/0.65</f>
        <v>56307.692307692305</v>
      </c>
      <c r="H21" s="9">
        <f>(5312+4800+800)/16</f>
        <v>682</v>
      </c>
      <c r="I21" s="5">
        <f t="shared" si="5"/>
        <v>82.562598691630939</v>
      </c>
      <c r="K21" t="s">
        <v>170</v>
      </c>
    </row>
    <row r="22" spans="2:11" x14ac:dyDescent="0.35">
      <c r="D22" s="50"/>
      <c r="E22" s="3"/>
      <c r="G22" s="50"/>
      <c r="H22" s="9"/>
      <c r="I22" s="5"/>
    </row>
    <row r="23" spans="2:11" x14ac:dyDescent="0.35">
      <c r="B23" s="7">
        <v>45120</v>
      </c>
      <c r="C23" t="s">
        <v>11</v>
      </c>
      <c r="D23" s="50">
        <v>26450</v>
      </c>
      <c r="E23" s="3" t="s">
        <v>130</v>
      </c>
      <c r="G23" s="50">
        <f t="shared" ref="G23" si="6">D23/0.75</f>
        <v>35266.666666666664</v>
      </c>
      <c r="H23" s="9">
        <f>5064/16</f>
        <v>316.5</v>
      </c>
      <c r="I23" s="5">
        <f t="shared" ref="I23" si="7">G23/H23</f>
        <v>111.42706687730383</v>
      </c>
      <c r="K23" t="s">
        <v>171</v>
      </c>
    </row>
    <row r="24" spans="2:11" x14ac:dyDescent="0.35">
      <c r="D24" s="50"/>
      <c r="E24" s="3"/>
      <c r="G24" s="50"/>
      <c r="H24" s="9"/>
      <c r="I24" s="5"/>
    </row>
    <row r="25" spans="2:11" x14ac:dyDescent="0.35">
      <c r="B25" s="7">
        <v>45126</v>
      </c>
      <c r="C25" t="s">
        <v>5</v>
      </c>
      <c r="D25" s="50">
        <v>21300</v>
      </c>
      <c r="E25" s="3" t="s">
        <v>172</v>
      </c>
      <c r="G25" s="50">
        <f>D25/0.5</f>
        <v>42600</v>
      </c>
      <c r="H25" s="9">
        <v>399</v>
      </c>
      <c r="I25" s="5">
        <f t="shared" ref="I25:I28" si="8">G25/H25</f>
        <v>106.76691729323308</v>
      </c>
      <c r="K25" t="s">
        <v>172</v>
      </c>
    </row>
    <row r="26" spans="2:11" x14ac:dyDescent="0.35">
      <c r="D26" s="50"/>
      <c r="E26" s="3"/>
    </row>
    <row r="27" spans="2:11" x14ac:dyDescent="0.35">
      <c r="B27" s="7">
        <v>45133</v>
      </c>
      <c r="C27" t="s">
        <v>12</v>
      </c>
      <c r="D27" s="50">
        <v>58050</v>
      </c>
      <c r="E27" s="3" t="s">
        <v>173</v>
      </c>
      <c r="G27" s="50">
        <f t="shared" ref="G27:G28" si="9">D27/0.75</f>
        <v>77400</v>
      </c>
      <c r="H27">
        <f>8624/16</f>
        <v>539</v>
      </c>
      <c r="I27" s="5">
        <f t="shared" si="8"/>
        <v>143.59925788497216</v>
      </c>
    </row>
    <row r="28" spans="2:11" x14ac:dyDescent="0.35">
      <c r="B28" s="7"/>
      <c r="C28" t="s">
        <v>10</v>
      </c>
      <c r="D28" s="50">
        <v>53200</v>
      </c>
      <c r="E28" s="3" t="s">
        <v>173</v>
      </c>
      <c r="G28" s="50">
        <f t="shared" si="9"/>
        <v>70933.333333333328</v>
      </c>
      <c r="H28">
        <f>9224/16</f>
        <v>576.5</v>
      </c>
      <c r="I28" s="5">
        <f t="shared" si="8"/>
        <v>123.04134142815842</v>
      </c>
    </row>
    <row r="29" spans="2:11" x14ac:dyDescent="0.35">
      <c r="D29" s="50"/>
      <c r="E29" s="3"/>
    </row>
    <row r="30" spans="2:11" x14ac:dyDescent="0.35">
      <c r="B30" s="7">
        <v>45183</v>
      </c>
      <c r="C30" t="s">
        <v>11</v>
      </c>
      <c r="D30" s="50">
        <v>55017.54</v>
      </c>
      <c r="E30" s="3" t="s">
        <v>71</v>
      </c>
    </row>
    <row r="31" spans="2:11" x14ac:dyDescent="0.35">
      <c r="D31" s="50"/>
      <c r="E31" s="3"/>
    </row>
    <row r="32" spans="2:11" x14ac:dyDescent="0.35">
      <c r="B32" s="7">
        <v>45176</v>
      </c>
      <c r="C32" t="s">
        <v>5</v>
      </c>
      <c r="D32" s="50">
        <v>24471.06</v>
      </c>
      <c r="E32" s="3" t="s">
        <v>71</v>
      </c>
    </row>
    <row r="33" spans="2:9" x14ac:dyDescent="0.35">
      <c r="B33" s="7"/>
      <c r="D33" s="50"/>
      <c r="E33" s="3"/>
    </row>
    <row r="34" spans="2:9" x14ac:dyDescent="0.35">
      <c r="B34" s="56">
        <v>45161</v>
      </c>
      <c r="C34" s="1" t="s">
        <v>15</v>
      </c>
      <c r="D34" s="55">
        <v>3264.3</v>
      </c>
      <c r="E34" s="4" t="s">
        <v>71</v>
      </c>
    </row>
    <row r="35" spans="2:9" x14ac:dyDescent="0.35">
      <c r="D35" s="50"/>
      <c r="E35" s="3"/>
      <c r="F35" s="50"/>
    </row>
    <row r="36" spans="2:9" x14ac:dyDescent="0.35">
      <c r="B36" s="7">
        <v>45194</v>
      </c>
      <c r="C36" t="s">
        <v>174</v>
      </c>
      <c r="D36" s="50">
        <v>56649.02</v>
      </c>
      <c r="E36" s="3" t="s">
        <v>175</v>
      </c>
      <c r="F36" s="50"/>
      <c r="G36" s="50">
        <f>+D36/0.5</f>
        <v>113298.04</v>
      </c>
      <c r="H36">
        <v>804</v>
      </c>
      <c r="I36" s="5">
        <f>+G36/H36</f>
        <v>140.91796019900497</v>
      </c>
    </row>
    <row r="37" spans="2:9" x14ac:dyDescent="0.35">
      <c r="D37" s="50"/>
      <c r="E37" s="3"/>
      <c r="F37" s="50"/>
    </row>
    <row r="38" spans="2:9" x14ac:dyDescent="0.35">
      <c r="B38" s="7">
        <v>45191</v>
      </c>
      <c r="C38" t="s">
        <v>13</v>
      </c>
      <c r="D38" s="50">
        <v>22913.05</v>
      </c>
      <c r="E38" s="3" t="s">
        <v>71</v>
      </c>
      <c r="F38" s="50"/>
    </row>
    <row r="39" spans="2:9" x14ac:dyDescent="0.35">
      <c r="D39" s="50"/>
      <c r="E39" s="3"/>
      <c r="F39" s="50"/>
    </row>
    <row r="40" spans="2:9" x14ac:dyDescent="0.35">
      <c r="B40" s="7">
        <v>45191</v>
      </c>
      <c r="C40" t="s">
        <v>3</v>
      </c>
      <c r="D40" s="50">
        <v>15158.11</v>
      </c>
      <c r="E40" s="3" t="s">
        <v>71</v>
      </c>
      <c r="F40" s="50"/>
    </row>
    <row r="41" spans="2:9" x14ac:dyDescent="0.35">
      <c r="B41" s="7"/>
      <c r="D41" s="50"/>
      <c r="E41" s="3"/>
      <c r="F41" s="50"/>
    </row>
    <row r="42" spans="2:9" x14ac:dyDescent="0.35">
      <c r="B42" s="7">
        <v>45216</v>
      </c>
      <c r="C42" t="s">
        <v>176</v>
      </c>
      <c r="D42" s="50">
        <v>41686.01</v>
      </c>
      <c r="E42" s="3" t="s">
        <v>71</v>
      </c>
      <c r="F42" s="50"/>
    </row>
    <row r="43" spans="2:9" x14ac:dyDescent="0.35">
      <c r="D43" s="50"/>
      <c r="E43" s="3"/>
    </row>
    <row r="44" spans="2:9" x14ac:dyDescent="0.35">
      <c r="B44" s="7">
        <v>45230</v>
      </c>
      <c r="C44" t="s">
        <v>12</v>
      </c>
      <c r="D44" s="50">
        <v>60834.61</v>
      </c>
      <c r="E44" s="3" t="s">
        <v>71</v>
      </c>
    </row>
    <row r="45" spans="2:9" x14ac:dyDescent="0.35">
      <c r="D45" s="50"/>
      <c r="E45" s="3"/>
    </row>
    <row r="46" spans="2:9" x14ac:dyDescent="0.35">
      <c r="B46" s="7">
        <v>45237</v>
      </c>
      <c r="C46" t="s">
        <v>14</v>
      </c>
      <c r="D46" s="50">
        <v>57190.18</v>
      </c>
      <c r="E46" s="3" t="s">
        <v>71</v>
      </c>
    </row>
    <row r="47" spans="2:9" x14ac:dyDescent="0.35">
      <c r="B47" s="7"/>
      <c r="C47" t="s">
        <v>18</v>
      </c>
      <c r="D47" s="50">
        <v>942.27</v>
      </c>
      <c r="E47" s="3" t="s">
        <v>71</v>
      </c>
    </row>
    <row r="48" spans="2:9" x14ac:dyDescent="0.35">
      <c r="D48" s="50"/>
      <c r="E48" s="3"/>
    </row>
    <row r="49" spans="2:5" x14ac:dyDescent="0.35">
      <c r="B49" s="7">
        <v>45280</v>
      </c>
      <c r="C49" t="s">
        <v>77</v>
      </c>
      <c r="D49" s="50">
        <v>74499.28</v>
      </c>
      <c r="E49" s="3"/>
    </row>
    <row r="50" spans="2:5" x14ac:dyDescent="0.35">
      <c r="C50" t="s">
        <v>78</v>
      </c>
      <c r="D50" s="50">
        <v>14007.6</v>
      </c>
      <c r="E50" s="3"/>
    </row>
    <row r="51" spans="2:5" x14ac:dyDescent="0.35">
      <c r="C51" t="s">
        <v>79</v>
      </c>
      <c r="D51" s="50">
        <v>23352.6</v>
      </c>
      <c r="E51" s="3"/>
    </row>
    <row r="52" spans="2:5" x14ac:dyDescent="0.35">
      <c r="C52" t="s">
        <v>82</v>
      </c>
      <c r="D52" s="50">
        <v>265914.86</v>
      </c>
      <c r="E52" s="3"/>
    </row>
    <row r="53" spans="2:5" x14ac:dyDescent="0.35">
      <c r="D53" s="50"/>
      <c r="E53" s="3"/>
    </row>
    <row r="54" spans="2:5" x14ac:dyDescent="0.35">
      <c r="B54" t="s">
        <v>177</v>
      </c>
      <c r="D54" s="50">
        <v>34953</v>
      </c>
      <c r="E54" s="3"/>
    </row>
    <row r="55" spans="2:5" x14ac:dyDescent="0.35">
      <c r="D55" s="50"/>
      <c r="E55" s="3"/>
    </row>
    <row r="56" spans="2:5" x14ac:dyDescent="0.35">
      <c r="B56" t="s">
        <v>34</v>
      </c>
      <c r="D56" s="50">
        <f>SUM(D62:D63)</f>
        <v>9869.89</v>
      </c>
      <c r="E56" s="3"/>
    </row>
    <row r="57" spans="2:5" x14ac:dyDescent="0.35">
      <c r="D57" s="50"/>
      <c r="E57" s="3"/>
    </row>
    <row r="58" spans="2:5" x14ac:dyDescent="0.35">
      <c r="D58" s="50"/>
      <c r="E58" s="3"/>
    </row>
    <row r="59" spans="2:5" x14ac:dyDescent="0.35">
      <c r="D59" s="50">
        <f>SUM(D3:D56)</f>
        <v>1214402.6199999999</v>
      </c>
    </row>
    <row r="60" spans="2:5" x14ac:dyDescent="0.35">
      <c r="D60" s="50"/>
    </row>
    <row r="62" spans="2:5" x14ac:dyDescent="0.35">
      <c r="B62" t="s">
        <v>178</v>
      </c>
      <c r="D62">
        <v>2465.89</v>
      </c>
    </row>
    <row r="63" spans="2:5" x14ac:dyDescent="0.35">
      <c r="B63" t="s">
        <v>179</v>
      </c>
      <c r="D63">
        <v>7404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21C0-E49F-439E-BD75-3C16CD7673C3}">
  <dimension ref="B2:O104"/>
  <sheetViews>
    <sheetView topLeftCell="A52" workbookViewId="0">
      <selection activeCell="C63" sqref="C63:F77"/>
    </sheetView>
  </sheetViews>
  <sheetFormatPr defaultRowHeight="14.5" x14ac:dyDescent="0.35"/>
  <cols>
    <col min="2" max="2" width="10.1796875" bestFit="1" customWidth="1"/>
    <col min="4" max="4" width="11.1796875" style="15" bestFit="1" customWidth="1"/>
    <col min="5" max="5" width="12.81640625" bestFit="1" customWidth="1"/>
    <col min="6" max="6" width="11.1796875" bestFit="1" customWidth="1"/>
    <col min="9" max="10" width="9.54296875" bestFit="1" customWidth="1"/>
    <col min="14" max="14" width="13.453125" bestFit="1" customWidth="1"/>
  </cols>
  <sheetData>
    <row r="2" spans="2:11" x14ac:dyDescent="0.35">
      <c r="F2" s="2" t="s">
        <v>33</v>
      </c>
      <c r="G2" s="2" t="s">
        <v>59</v>
      </c>
      <c r="H2" s="2" t="s">
        <v>60</v>
      </c>
    </row>
    <row r="3" spans="2:11" x14ac:dyDescent="0.35">
      <c r="B3" s="7">
        <v>44578</v>
      </c>
      <c r="C3" t="s">
        <v>2</v>
      </c>
      <c r="D3" s="15">
        <v>11750</v>
      </c>
      <c r="E3" t="s">
        <v>110</v>
      </c>
      <c r="F3" s="15">
        <f t="shared" ref="F3:F7" si="0">+D3/0.75</f>
        <v>15666.666666666666</v>
      </c>
      <c r="G3">
        <f>736/16</f>
        <v>46</v>
      </c>
      <c r="H3" s="15">
        <f t="shared" ref="H3:H7" si="1">+F3/G3</f>
        <v>340.5797101449275</v>
      </c>
    </row>
    <row r="4" spans="2:11" x14ac:dyDescent="0.35">
      <c r="F4" s="15"/>
      <c r="H4" s="15"/>
    </row>
    <row r="5" spans="2:11" x14ac:dyDescent="0.35">
      <c r="B5" s="7">
        <v>44592</v>
      </c>
      <c r="C5" t="s">
        <v>2</v>
      </c>
      <c r="D5" s="15">
        <v>8550</v>
      </c>
      <c r="E5" t="s">
        <v>114</v>
      </c>
      <c r="F5" s="15">
        <f t="shared" si="0"/>
        <v>11400</v>
      </c>
      <c r="G5">
        <f>480/16</f>
        <v>30</v>
      </c>
      <c r="H5" s="15">
        <f t="shared" si="1"/>
        <v>380</v>
      </c>
    </row>
    <row r="6" spans="2:11" x14ac:dyDescent="0.35">
      <c r="C6" t="s">
        <v>74</v>
      </c>
      <c r="D6" s="15">
        <v>29400</v>
      </c>
      <c r="E6" t="s">
        <v>114</v>
      </c>
      <c r="F6" s="15">
        <f t="shared" si="0"/>
        <v>39200</v>
      </c>
      <c r="G6">
        <f>2160/16</f>
        <v>135</v>
      </c>
      <c r="H6" s="15">
        <f t="shared" si="1"/>
        <v>290.37037037037038</v>
      </c>
    </row>
    <row r="7" spans="2:11" x14ac:dyDescent="0.35">
      <c r="C7" t="s">
        <v>14</v>
      </c>
      <c r="D7" s="15">
        <v>66450</v>
      </c>
      <c r="E7" t="s">
        <v>114</v>
      </c>
      <c r="F7" s="15">
        <f t="shared" si="0"/>
        <v>88600</v>
      </c>
      <c r="G7">
        <f>(1600+4400)/16</f>
        <v>375</v>
      </c>
      <c r="H7" s="15">
        <f t="shared" si="1"/>
        <v>236.26666666666668</v>
      </c>
    </row>
    <row r="8" spans="2:11" x14ac:dyDescent="0.35">
      <c r="D8" s="15">
        <f>SUM(D5:D7)</f>
        <v>104400</v>
      </c>
      <c r="F8" s="15"/>
      <c r="H8" s="15"/>
    </row>
    <row r="9" spans="2:11" x14ac:dyDescent="0.35">
      <c r="B9" s="7"/>
      <c r="F9" s="15"/>
      <c r="H9" s="15"/>
      <c r="J9" s="15"/>
      <c r="K9" s="15"/>
    </row>
    <row r="10" spans="2:11" x14ac:dyDescent="0.35">
      <c r="B10" s="7">
        <v>44622</v>
      </c>
      <c r="C10" t="s">
        <v>11</v>
      </c>
      <c r="D10" s="15">
        <v>30150</v>
      </c>
      <c r="E10" t="s">
        <v>121</v>
      </c>
      <c r="F10" s="15">
        <f t="shared" ref="F10" si="2">+D10/0.75</f>
        <v>40200</v>
      </c>
      <c r="G10">
        <f>3184/16</f>
        <v>199</v>
      </c>
      <c r="H10" s="15">
        <f t="shared" ref="H10" si="3">+F10/G10</f>
        <v>202.01005025125627</v>
      </c>
    </row>
    <row r="11" spans="2:11" x14ac:dyDescent="0.35">
      <c r="B11" s="7"/>
      <c r="C11" t="s">
        <v>15</v>
      </c>
      <c r="D11" s="15">
        <v>1950</v>
      </c>
      <c r="E11" t="s">
        <v>121</v>
      </c>
      <c r="F11" s="15">
        <f t="shared" ref="F11" si="4">+D11/0.75</f>
        <v>2600</v>
      </c>
      <c r="G11">
        <f>352/16</f>
        <v>22</v>
      </c>
      <c r="H11" s="15">
        <f t="shared" ref="H11" si="5">+F11/G11</f>
        <v>118.18181818181819</v>
      </c>
    </row>
    <row r="12" spans="2:11" x14ac:dyDescent="0.35">
      <c r="D12" s="15">
        <f>SUM(D10:D11)</f>
        <v>32100</v>
      </c>
      <c r="F12" s="15"/>
      <c r="H12" s="15"/>
    </row>
    <row r="13" spans="2:11" x14ac:dyDescent="0.35">
      <c r="F13" s="15"/>
      <c r="H13" s="15"/>
    </row>
    <row r="14" spans="2:11" x14ac:dyDescent="0.35">
      <c r="B14" s="7">
        <v>44656</v>
      </c>
      <c r="C14" t="s">
        <v>13</v>
      </c>
      <c r="D14" s="15">
        <v>35850</v>
      </c>
      <c r="E14" t="s">
        <v>165</v>
      </c>
      <c r="F14" s="15">
        <f t="shared" ref="F14:F15" si="6">+D14/0.75</f>
        <v>47800</v>
      </c>
      <c r="G14">
        <f>2144/16</f>
        <v>134</v>
      </c>
      <c r="H14" s="15">
        <f t="shared" ref="H14:H15" si="7">+F14/G14</f>
        <v>356.71641791044777</v>
      </c>
    </row>
    <row r="15" spans="2:11" x14ac:dyDescent="0.35">
      <c r="C15" t="s">
        <v>73</v>
      </c>
      <c r="D15" s="15">
        <v>26350</v>
      </c>
      <c r="E15" t="s">
        <v>165</v>
      </c>
      <c r="F15" s="15">
        <f t="shared" si="6"/>
        <v>35133.333333333336</v>
      </c>
      <c r="G15">
        <f>1568/16</f>
        <v>98</v>
      </c>
      <c r="H15" s="15">
        <f t="shared" si="7"/>
        <v>358.50340136054422</v>
      </c>
    </row>
    <row r="16" spans="2:11" x14ac:dyDescent="0.35">
      <c r="D16" s="15">
        <f>SUM(D14:D15)</f>
        <v>62200</v>
      </c>
      <c r="F16" s="15"/>
    </row>
    <row r="17" spans="2:15" x14ac:dyDescent="0.35">
      <c r="B17" s="7"/>
      <c r="F17" s="15"/>
      <c r="H17" s="15"/>
    </row>
    <row r="18" spans="2:15" x14ac:dyDescent="0.35">
      <c r="B18" s="7">
        <v>44684</v>
      </c>
      <c r="C18" t="s">
        <v>11</v>
      </c>
      <c r="D18" s="15">
        <v>41000</v>
      </c>
      <c r="E18" t="s">
        <v>123</v>
      </c>
      <c r="F18" s="15">
        <f t="shared" ref="F18" si="8">+D18/0.75</f>
        <v>54666.666666666664</v>
      </c>
      <c r="G18">
        <f>+(2464+1856)/16</f>
        <v>270</v>
      </c>
      <c r="H18" s="15">
        <f t="shared" ref="H18" si="9">+F18/G18</f>
        <v>202.46913580246914</v>
      </c>
    </row>
    <row r="19" spans="2:15" x14ac:dyDescent="0.35">
      <c r="F19" s="15"/>
    </row>
    <row r="20" spans="2:15" x14ac:dyDescent="0.35">
      <c r="B20" s="7">
        <v>44712</v>
      </c>
      <c r="C20" t="s">
        <v>10</v>
      </c>
      <c r="D20" s="15">
        <v>62550</v>
      </c>
      <c r="E20" t="s">
        <v>126</v>
      </c>
      <c r="F20" s="15">
        <f t="shared" ref="F20" si="10">+D20/0.75</f>
        <v>83400</v>
      </c>
      <c r="G20">
        <f>5600/16</f>
        <v>350</v>
      </c>
      <c r="H20" s="15">
        <f t="shared" ref="H20" si="11">+F20/G20</f>
        <v>238.28571428571428</v>
      </c>
    </row>
    <row r="21" spans="2:15" x14ac:dyDescent="0.35">
      <c r="F21" s="15"/>
    </row>
    <row r="22" spans="2:15" x14ac:dyDescent="0.35">
      <c r="B22" s="7">
        <v>44697</v>
      </c>
      <c r="C22" t="s">
        <v>2</v>
      </c>
      <c r="D22" s="15">
        <v>4912.1499999999996</v>
      </c>
      <c r="E22" t="s">
        <v>71</v>
      </c>
      <c r="F22" s="15"/>
    </row>
    <row r="23" spans="2:15" x14ac:dyDescent="0.35">
      <c r="B23" s="7"/>
      <c r="C23" t="s">
        <v>74</v>
      </c>
      <c r="D23" s="15">
        <v>7572.25</v>
      </c>
      <c r="E23" t="s">
        <v>71</v>
      </c>
      <c r="F23" s="15"/>
    </row>
    <row r="24" spans="2:15" x14ac:dyDescent="0.35">
      <c r="F24" s="15"/>
    </row>
    <row r="25" spans="2:15" x14ac:dyDescent="0.35">
      <c r="B25" s="7">
        <v>44739</v>
      </c>
      <c r="C25" t="s">
        <v>12</v>
      </c>
      <c r="D25" s="15">
        <v>37000</v>
      </c>
      <c r="E25" t="s">
        <v>130</v>
      </c>
      <c r="F25" s="15">
        <f t="shared" ref="F25:F27" si="12">+D25/0.75</f>
        <v>49333.333333333336</v>
      </c>
      <c r="G25">
        <f>4928/16</f>
        <v>308</v>
      </c>
      <c r="H25" s="15">
        <f t="shared" ref="H25:H27" si="13">+F25/G25</f>
        <v>160.17316017316017</v>
      </c>
    </row>
    <row r="26" spans="2:15" x14ac:dyDescent="0.35">
      <c r="C26" t="s">
        <v>14</v>
      </c>
      <c r="D26" s="15">
        <v>20900</v>
      </c>
      <c r="E26" t="s">
        <v>130</v>
      </c>
      <c r="F26" s="15">
        <f>+D26/0.6</f>
        <v>34833.333333333336</v>
      </c>
      <c r="G26">
        <f>4800/16</f>
        <v>300</v>
      </c>
      <c r="H26" s="15">
        <f t="shared" si="13"/>
        <v>116.11111111111111</v>
      </c>
      <c r="J26" t="s">
        <v>180</v>
      </c>
    </row>
    <row r="27" spans="2:15" x14ac:dyDescent="0.35">
      <c r="C27" t="s">
        <v>10</v>
      </c>
      <c r="D27" s="15">
        <v>26400</v>
      </c>
      <c r="E27" t="s">
        <v>130</v>
      </c>
      <c r="F27" s="15">
        <f t="shared" si="12"/>
        <v>35200</v>
      </c>
      <c r="G27">
        <f>(1408+800)/16</f>
        <v>138</v>
      </c>
      <c r="H27" s="15">
        <f t="shared" si="13"/>
        <v>255.07246376811594</v>
      </c>
    </row>
    <row r="28" spans="2:15" x14ac:dyDescent="0.35">
      <c r="F28" s="15"/>
    </row>
    <row r="29" spans="2:15" x14ac:dyDescent="0.35">
      <c r="B29" s="7">
        <v>44748</v>
      </c>
      <c r="C29" t="s">
        <v>5</v>
      </c>
      <c r="D29" s="15">
        <v>62950.81</v>
      </c>
      <c r="E29" t="s">
        <v>71</v>
      </c>
      <c r="F29" s="15"/>
    </row>
    <row r="30" spans="2:15" x14ac:dyDescent="0.35">
      <c r="F30" s="15"/>
      <c r="O30" s="15"/>
    </row>
    <row r="31" spans="2:15" x14ac:dyDescent="0.35">
      <c r="B31" s="7">
        <v>44769</v>
      </c>
      <c r="C31" t="s">
        <v>11</v>
      </c>
      <c r="D31" s="15">
        <v>39424.300000000003</v>
      </c>
      <c r="E31" t="s">
        <v>71</v>
      </c>
      <c r="F31" s="15"/>
    </row>
    <row r="32" spans="2:15" x14ac:dyDescent="0.35">
      <c r="F32" s="15"/>
    </row>
    <row r="33" spans="2:10" x14ac:dyDescent="0.35">
      <c r="B33" s="7">
        <v>44767</v>
      </c>
      <c r="C33" t="s">
        <v>14</v>
      </c>
      <c r="D33" s="15">
        <v>11850</v>
      </c>
      <c r="E33" t="s">
        <v>138</v>
      </c>
      <c r="F33" s="15">
        <f>+D33/0.6</f>
        <v>19750</v>
      </c>
      <c r="G33">
        <f>(280+2400)/16</f>
        <v>167.5</v>
      </c>
      <c r="H33">
        <f>+F33/G33</f>
        <v>117.91044776119404</v>
      </c>
      <c r="J33" t="s">
        <v>180</v>
      </c>
    </row>
    <row r="34" spans="2:10" x14ac:dyDescent="0.35">
      <c r="F34" s="15"/>
    </row>
    <row r="35" spans="2:10" x14ac:dyDescent="0.35">
      <c r="C35" t="s">
        <v>77</v>
      </c>
      <c r="D35" s="15">
        <v>8801.08</v>
      </c>
      <c r="F35" s="47" t="s">
        <v>181</v>
      </c>
    </row>
    <row r="36" spans="2:10" x14ac:dyDescent="0.35">
      <c r="C36" t="s">
        <v>78</v>
      </c>
      <c r="D36" s="15">
        <v>10518.39</v>
      </c>
      <c r="F36" s="15"/>
    </row>
    <row r="37" spans="2:10" x14ac:dyDescent="0.35">
      <c r="C37" t="s">
        <v>79</v>
      </c>
      <c r="D37" s="15">
        <v>16888.830000000002</v>
      </c>
      <c r="F37" s="15"/>
      <c r="I37" s="15"/>
    </row>
    <row r="38" spans="2:10" x14ac:dyDescent="0.35">
      <c r="C38" t="s">
        <v>82</v>
      </c>
      <c r="D38" s="15">
        <v>56301.79</v>
      </c>
      <c r="F38" s="15"/>
    </row>
    <row r="39" spans="2:10" x14ac:dyDescent="0.35">
      <c r="F39" s="15"/>
    </row>
    <row r="40" spans="2:10" x14ac:dyDescent="0.35">
      <c r="B40" s="7">
        <v>44791</v>
      </c>
      <c r="C40" t="s">
        <v>15</v>
      </c>
      <c r="D40" s="15">
        <v>1318.45</v>
      </c>
      <c r="E40" t="s">
        <v>71</v>
      </c>
      <c r="F40" s="15"/>
    </row>
    <row r="41" spans="2:10" x14ac:dyDescent="0.35">
      <c r="F41" s="15"/>
    </row>
    <row r="42" spans="2:10" x14ac:dyDescent="0.35">
      <c r="B42" s="7">
        <v>44798</v>
      </c>
      <c r="C42" t="s">
        <v>13</v>
      </c>
      <c r="D42" s="15">
        <v>18127.95</v>
      </c>
      <c r="E42" t="s">
        <v>71</v>
      </c>
      <c r="F42" s="15"/>
    </row>
    <row r="43" spans="2:10" x14ac:dyDescent="0.35">
      <c r="C43" t="s">
        <v>73</v>
      </c>
      <c r="D43" s="15">
        <v>13314.52</v>
      </c>
      <c r="E43" t="s">
        <v>71</v>
      </c>
      <c r="F43" s="15"/>
    </row>
    <row r="44" spans="2:10" x14ac:dyDescent="0.35">
      <c r="F44" s="15"/>
      <c r="I44" s="15"/>
    </row>
    <row r="45" spans="2:10" x14ac:dyDescent="0.35">
      <c r="B45" s="7">
        <v>44844</v>
      </c>
      <c r="C45" t="s">
        <v>10</v>
      </c>
      <c r="D45" s="15">
        <v>12757.58</v>
      </c>
      <c r="E45" t="s">
        <v>182</v>
      </c>
      <c r="F45" s="15"/>
    </row>
    <row r="46" spans="2:10" x14ac:dyDescent="0.35">
      <c r="F46" s="15"/>
    </row>
    <row r="47" spans="2:10" x14ac:dyDescent="0.35">
      <c r="B47" s="7">
        <v>44847</v>
      </c>
      <c r="C47" t="s">
        <v>10</v>
      </c>
      <c r="D47" s="15">
        <v>60605.279999999999</v>
      </c>
      <c r="E47" t="s">
        <v>183</v>
      </c>
      <c r="F47" s="15"/>
    </row>
    <row r="48" spans="2:10" x14ac:dyDescent="0.35">
      <c r="C48" t="s">
        <v>12</v>
      </c>
      <c r="D48" s="15">
        <v>51313.79</v>
      </c>
      <c r="E48" t="s">
        <v>184</v>
      </c>
      <c r="F48" s="15"/>
    </row>
    <row r="49" spans="2:8" x14ac:dyDescent="0.35">
      <c r="F49" s="15"/>
    </row>
    <row r="50" spans="2:8" x14ac:dyDescent="0.35">
      <c r="B50" s="7">
        <v>44904</v>
      </c>
      <c r="C50" t="s">
        <v>14</v>
      </c>
      <c r="D50" s="15">
        <v>60255.040000000001</v>
      </c>
      <c r="E50" t="s">
        <v>185</v>
      </c>
      <c r="F50" s="15"/>
    </row>
    <row r="51" spans="2:8" x14ac:dyDescent="0.35">
      <c r="F51" s="15"/>
    </row>
    <row r="52" spans="2:8" x14ac:dyDescent="0.35">
      <c r="C52" t="s">
        <v>77</v>
      </c>
      <c r="D52" s="15">
        <v>59780.69</v>
      </c>
      <c r="E52" t="s">
        <v>71</v>
      </c>
      <c r="F52" s="15"/>
    </row>
    <row r="53" spans="2:8" x14ac:dyDescent="0.35">
      <c r="C53" t="s">
        <v>78</v>
      </c>
      <c r="D53" s="15">
        <v>15383.05</v>
      </c>
      <c r="E53" t="s">
        <v>71</v>
      </c>
      <c r="F53" s="15"/>
    </row>
    <row r="54" spans="2:8" x14ac:dyDescent="0.35">
      <c r="C54" t="s">
        <v>79</v>
      </c>
      <c r="D54" s="15">
        <v>24779.96</v>
      </c>
      <c r="E54" t="s">
        <v>71</v>
      </c>
      <c r="F54" s="15"/>
    </row>
    <row r="55" spans="2:8" x14ac:dyDescent="0.35">
      <c r="C55" t="s">
        <v>82</v>
      </c>
      <c r="D55" s="15">
        <v>87178.74</v>
      </c>
      <c r="E55" t="s">
        <v>71</v>
      </c>
      <c r="F55" s="15"/>
    </row>
    <row r="56" spans="2:8" x14ac:dyDescent="0.35">
      <c r="F56" s="15"/>
    </row>
    <row r="57" spans="2:8" x14ac:dyDescent="0.35">
      <c r="D57" s="15">
        <f>SUM(D3,D8,D12,D16,D18,D20,D22:D23,D25:D27,D29,D31,D33,D35:D38,D45,D47:D48,D50,D52:D55,D42:D43,D40)</f>
        <v>1022334.6499999999</v>
      </c>
      <c r="F57" s="15"/>
    </row>
    <row r="58" spans="2:8" x14ac:dyDescent="0.35">
      <c r="F58" s="15"/>
    </row>
    <row r="59" spans="2:8" x14ac:dyDescent="0.35">
      <c r="F59" s="15"/>
    </row>
    <row r="60" spans="2:8" x14ac:dyDescent="0.35">
      <c r="B60" s="7"/>
      <c r="D60"/>
      <c r="F60" s="15"/>
      <c r="H60" s="15"/>
    </row>
    <row r="61" spans="2:8" x14ac:dyDescent="0.35">
      <c r="D61"/>
      <c r="F61" s="15"/>
    </row>
    <row r="62" spans="2:8" x14ac:dyDescent="0.35">
      <c r="B62" s="7"/>
      <c r="D62"/>
      <c r="F62" s="15"/>
      <c r="G62" s="9"/>
      <c r="H62" s="15"/>
    </row>
    <row r="63" spans="2:8" x14ac:dyDescent="0.35">
      <c r="C63" t="s">
        <v>2</v>
      </c>
      <c r="D63"/>
      <c r="F63" s="15">
        <f>SUMIFS($D$3:$D$55,$C$3:$C$55,C63)</f>
        <v>25212.15</v>
      </c>
      <c r="G63" s="15"/>
      <c r="H63" s="15"/>
    </row>
    <row r="64" spans="2:8" x14ac:dyDescent="0.35">
      <c r="C64" t="s">
        <v>73</v>
      </c>
      <c r="F64" s="15">
        <f t="shared" ref="F64:F76" si="14">SUMIFS($D$3:$D$55,$C$3:$C$55,C64)</f>
        <v>39664.520000000004</v>
      </c>
      <c r="G64" s="15"/>
      <c r="H64" s="15"/>
    </row>
    <row r="65" spans="2:14" x14ac:dyDescent="0.35">
      <c r="C65" t="s">
        <v>74</v>
      </c>
      <c r="F65" s="15">
        <f t="shared" si="14"/>
        <v>36972.25</v>
      </c>
      <c r="G65" s="15"/>
      <c r="H65" s="15"/>
    </row>
    <row r="66" spans="2:14" x14ac:dyDescent="0.35">
      <c r="C66" t="s">
        <v>5</v>
      </c>
      <c r="F66" s="15">
        <f t="shared" si="14"/>
        <v>62950.81</v>
      </c>
      <c r="G66" s="15"/>
      <c r="H66" s="15"/>
    </row>
    <row r="67" spans="2:14" x14ac:dyDescent="0.35">
      <c r="C67" t="s">
        <v>77</v>
      </c>
      <c r="F67" s="15">
        <f t="shared" si="14"/>
        <v>68581.77</v>
      </c>
      <c r="G67" s="15"/>
      <c r="H67" s="15"/>
    </row>
    <row r="68" spans="2:14" x14ac:dyDescent="0.35">
      <c r="C68" t="s">
        <v>78</v>
      </c>
      <c r="F68" s="15">
        <f t="shared" si="14"/>
        <v>25901.439999999999</v>
      </c>
      <c r="G68" s="15"/>
      <c r="H68" s="15"/>
    </row>
    <row r="69" spans="2:14" x14ac:dyDescent="0.35">
      <c r="C69" t="s">
        <v>79</v>
      </c>
      <c r="F69" s="15">
        <f t="shared" si="14"/>
        <v>41668.79</v>
      </c>
      <c r="G69" s="15"/>
      <c r="H69" s="15"/>
    </row>
    <row r="70" spans="2:14" x14ac:dyDescent="0.35">
      <c r="C70" t="s">
        <v>82</v>
      </c>
      <c r="F70" s="15">
        <f t="shared" si="14"/>
        <v>143480.53</v>
      </c>
      <c r="G70" s="15"/>
      <c r="H70" s="15"/>
    </row>
    <row r="71" spans="2:14" x14ac:dyDescent="0.35">
      <c r="C71" t="s">
        <v>10</v>
      </c>
      <c r="F71" s="15">
        <f t="shared" si="14"/>
        <v>162312.85999999999</v>
      </c>
      <c r="G71" s="15"/>
      <c r="H71" s="15"/>
    </row>
    <row r="72" spans="2:14" x14ac:dyDescent="0.35">
      <c r="B72" s="7"/>
      <c r="C72" t="s">
        <v>11</v>
      </c>
      <c r="F72" s="15">
        <f t="shared" si="14"/>
        <v>110574.3</v>
      </c>
      <c r="G72" s="15"/>
      <c r="H72" s="15"/>
    </row>
    <row r="73" spans="2:14" x14ac:dyDescent="0.35">
      <c r="B73" s="7"/>
      <c r="C73" t="s">
        <v>12</v>
      </c>
      <c r="F73" s="15">
        <f t="shared" si="14"/>
        <v>88313.790000000008</v>
      </c>
      <c r="G73" s="15"/>
      <c r="H73" s="15"/>
    </row>
    <row r="74" spans="2:14" x14ac:dyDescent="0.35">
      <c r="B74" s="7"/>
      <c r="C74" t="s">
        <v>13</v>
      </c>
      <c r="F74" s="15">
        <f t="shared" si="14"/>
        <v>53977.95</v>
      </c>
      <c r="G74" s="15"/>
      <c r="H74" s="15"/>
    </row>
    <row r="75" spans="2:14" x14ac:dyDescent="0.35">
      <c r="B75" s="7"/>
      <c r="C75" t="s">
        <v>14</v>
      </c>
      <c r="F75" s="15">
        <f t="shared" si="14"/>
        <v>159455.04000000001</v>
      </c>
      <c r="G75" s="15"/>
      <c r="H75" s="15"/>
    </row>
    <row r="76" spans="2:14" x14ac:dyDescent="0.35">
      <c r="B76" s="7"/>
      <c r="C76" t="s">
        <v>15</v>
      </c>
      <c r="F76" s="15">
        <f t="shared" si="14"/>
        <v>3268.45</v>
      </c>
      <c r="G76" s="15"/>
      <c r="H76" s="15"/>
      <c r="N76" s="48"/>
    </row>
    <row r="77" spans="2:14" x14ac:dyDescent="0.35">
      <c r="F77" s="15">
        <f>SUM(F63:F76)</f>
        <v>1022334.65</v>
      </c>
      <c r="N77" s="49"/>
    </row>
    <row r="78" spans="2:14" x14ac:dyDescent="0.35">
      <c r="B78" s="7"/>
      <c r="F78" s="15"/>
    </row>
    <row r="79" spans="2:14" x14ac:dyDescent="0.35">
      <c r="F79" s="15"/>
      <c r="N79" s="49"/>
    </row>
    <row r="80" spans="2:14" x14ac:dyDescent="0.35">
      <c r="B80" s="7"/>
      <c r="F80" s="15"/>
    </row>
    <row r="81" spans="2:14" x14ac:dyDescent="0.35">
      <c r="F81" s="15"/>
      <c r="N81" s="49"/>
    </row>
    <row r="82" spans="2:14" x14ac:dyDescent="0.35">
      <c r="F82" s="15"/>
    </row>
    <row r="83" spans="2:14" x14ac:dyDescent="0.35">
      <c r="F83" s="15"/>
    </row>
    <row r="84" spans="2:14" x14ac:dyDescent="0.35">
      <c r="B84" s="7"/>
      <c r="F84" s="15"/>
    </row>
    <row r="85" spans="2:14" x14ac:dyDescent="0.35">
      <c r="F85" s="15"/>
    </row>
    <row r="86" spans="2:14" x14ac:dyDescent="0.35">
      <c r="F86" s="15"/>
    </row>
    <row r="87" spans="2:14" x14ac:dyDescent="0.35">
      <c r="B87" s="7"/>
      <c r="F87" s="15"/>
    </row>
    <row r="88" spans="2:14" x14ac:dyDescent="0.35">
      <c r="F88" s="15"/>
    </row>
    <row r="89" spans="2:14" x14ac:dyDescent="0.35">
      <c r="F89" s="15"/>
    </row>
    <row r="90" spans="2:14" x14ac:dyDescent="0.35">
      <c r="F90" s="15"/>
    </row>
    <row r="91" spans="2:14" x14ac:dyDescent="0.35">
      <c r="B91" s="7"/>
      <c r="F91" s="15"/>
    </row>
    <row r="92" spans="2:14" x14ac:dyDescent="0.35">
      <c r="F92" s="15"/>
    </row>
    <row r="93" spans="2:14" x14ac:dyDescent="0.35">
      <c r="F93" s="15"/>
    </row>
    <row r="94" spans="2:14" x14ac:dyDescent="0.35">
      <c r="F94" s="15"/>
    </row>
    <row r="95" spans="2:14" x14ac:dyDescent="0.35">
      <c r="F95" s="15"/>
    </row>
    <row r="96" spans="2:14" x14ac:dyDescent="0.35">
      <c r="F96" s="15"/>
    </row>
    <row r="97" spans="2:8" x14ac:dyDescent="0.35">
      <c r="F97" s="15"/>
    </row>
    <row r="100" spans="2:8" x14ac:dyDescent="0.35">
      <c r="B100" t="s">
        <v>30</v>
      </c>
      <c r="D100" s="15">
        <f>SUM(D3,D5,D13,D80)</f>
        <v>20300</v>
      </c>
      <c r="E100">
        <f>Revenue!T114</f>
        <v>257813.86</v>
      </c>
      <c r="F100" s="15">
        <f>+D100-E100</f>
        <v>-237513.86</v>
      </c>
      <c r="H100">
        <f>+D100/Revenue!T109</f>
        <v>21.278825995807129</v>
      </c>
    </row>
    <row r="101" spans="2:8" x14ac:dyDescent="0.35">
      <c r="B101" t="s">
        <v>186</v>
      </c>
      <c r="D101" s="15">
        <f>SUM(D9,D14,D17,D60,D81)</f>
        <v>35850</v>
      </c>
      <c r="E101" s="15"/>
    </row>
    <row r="102" spans="2:8" x14ac:dyDescent="0.35">
      <c r="D102" s="15">
        <f>D101/Revenue!Q109</f>
        <v>58.578431372549019</v>
      </c>
      <c r="E102">
        <f>+D102*Revenue!$Q$109</f>
        <v>35850</v>
      </c>
    </row>
    <row r="103" spans="2:8" x14ac:dyDescent="0.35">
      <c r="D103" s="15">
        <v>182.52</v>
      </c>
      <c r="E103">
        <f>+D103*Revenue!$Q$109</f>
        <v>111702.24</v>
      </c>
    </row>
    <row r="104" spans="2:8" x14ac:dyDescent="0.35">
      <c r="E104">
        <f>+E103-E102</f>
        <v>75852.240000000005</v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A12D-05DC-4A55-B1E2-8C6C6FC1B64F}">
  <dimension ref="B2:K63"/>
  <sheetViews>
    <sheetView workbookViewId="0">
      <selection activeCell="M31" sqref="M31:N33"/>
    </sheetView>
  </sheetViews>
  <sheetFormatPr defaultRowHeight="14.5" x14ac:dyDescent="0.35"/>
  <cols>
    <col min="2" max="2" width="10.1796875" bestFit="1" customWidth="1"/>
    <col min="4" max="4" width="9.6328125" style="15" bestFit="1" customWidth="1"/>
    <col min="5" max="5" width="28.08984375" bestFit="1" customWidth="1"/>
    <col min="6" max="6" width="9.54296875" bestFit="1" customWidth="1"/>
    <col min="10" max="10" width="9.54296875" bestFit="1" customWidth="1"/>
  </cols>
  <sheetData>
    <row r="2" spans="2:11" x14ac:dyDescent="0.35">
      <c r="F2" s="2" t="s">
        <v>33</v>
      </c>
      <c r="G2" s="2" t="s">
        <v>59</v>
      </c>
      <c r="H2" s="2" t="s">
        <v>60</v>
      </c>
    </row>
    <row r="3" spans="2:11" x14ac:dyDescent="0.35">
      <c r="B3" s="7">
        <v>44223</v>
      </c>
      <c r="C3" t="s">
        <v>14</v>
      </c>
      <c r="D3" s="15">
        <v>52700</v>
      </c>
      <c r="E3" t="s">
        <v>187</v>
      </c>
      <c r="F3" s="15">
        <f t="shared" ref="F3" si="0">+D3/0.75</f>
        <v>70266.666666666672</v>
      </c>
      <c r="G3">
        <v>302</v>
      </c>
      <c r="H3" s="15">
        <f t="shared" ref="H3" si="1">+F3/G3</f>
        <v>232.67108167770422</v>
      </c>
    </row>
    <row r="4" spans="2:11" x14ac:dyDescent="0.35">
      <c r="C4" t="s">
        <v>4</v>
      </c>
      <c r="D4" s="15">
        <v>15750</v>
      </c>
      <c r="E4" t="s">
        <v>188</v>
      </c>
      <c r="F4" s="15">
        <f t="shared" ref="F4" si="2">+D4/0.75</f>
        <v>21000</v>
      </c>
      <c r="G4">
        <v>164</v>
      </c>
      <c r="H4" s="15">
        <f t="shared" ref="H4" si="3">+F4/G4</f>
        <v>128.04878048780489</v>
      </c>
    </row>
    <row r="5" spans="2:11" x14ac:dyDescent="0.35">
      <c r="D5" s="15">
        <f>SUM(D3:D4)</f>
        <v>68450</v>
      </c>
      <c r="F5" s="15"/>
      <c r="H5" s="15"/>
    </row>
    <row r="6" spans="2:11" x14ac:dyDescent="0.35">
      <c r="F6" s="15"/>
      <c r="H6" s="15"/>
    </row>
    <row r="7" spans="2:11" x14ac:dyDescent="0.35">
      <c r="B7" s="7">
        <v>44253</v>
      </c>
      <c r="C7" t="s">
        <v>14</v>
      </c>
      <c r="D7" s="15">
        <v>59750</v>
      </c>
      <c r="E7" t="s">
        <v>189</v>
      </c>
      <c r="F7" s="15">
        <f t="shared" ref="F7:F8" si="4">+D7/0.75</f>
        <v>79666.666666666672</v>
      </c>
      <c r="G7">
        <v>339</v>
      </c>
      <c r="H7" s="15">
        <f t="shared" ref="H7:H8" si="5">+F7/G7</f>
        <v>235.00491642084563</v>
      </c>
    </row>
    <row r="8" spans="2:11" x14ac:dyDescent="0.35">
      <c r="C8" t="s">
        <v>4</v>
      </c>
      <c r="D8" s="15">
        <v>3150</v>
      </c>
      <c r="E8" t="s">
        <v>189</v>
      </c>
      <c r="F8" s="15">
        <f t="shared" si="4"/>
        <v>4200</v>
      </c>
      <c r="G8">
        <v>48</v>
      </c>
      <c r="H8" s="15">
        <f t="shared" si="5"/>
        <v>87.5</v>
      </c>
    </row>
    <row r="9" spans="2:11" x14ac:dyDescent="0.35">
      <c r="D9" s="15">
        <f>SUM(D7:D8)</f>
        <v>62900</v>
      </c>
      <c r="F9" s="15"/>
      <c r="H9" s="15"/>
    </row>
    <row r="10" spans="2:11" x14ac:dyDescent="0.35">
      <c r="F10" s="15"/>
      <c r="H10" s="15"/>
    </row>
    <row r="11" spans="2:11" x14ac:dyDescent="0.35">
      <c r="B11" s="7">
        <v>44284</v>
      </c>
      <c r="C11" t="s">
        <v>11</v>
      </c>
      <c r="D11" s="15">
        <v>21950</v>
      </c>
      <c r="E11" t="s">
        <v>190</v>
      </c>
      <c r="F11" s="15">
        <f t="shared" ref="F11:F16" si="6">+D11/0.75</f>
        <v>29266.666666666668</v>
      </c>
      <c r="G11">
        <v>100</v>
      </c>
      <c r="H11" s="15">
        <f t="shared" ref="H11:H16" si="7">+F11/G11</f>
        <v>292.66666666666669</v>
      </c>
      <c r="J11" s="15"/>
      <c r="K11" s="15"/>
    </row>
    <row r="12" spans="2:11" x14ac:dyDescent="0.35">
      <c r="F12" s="15"/>
    </row>
    <row r="13" spans="2:11" x14ac:dyDescent="0.35">
      <c r="B13" s="7">
        <v>44305</v>
      </c>
      <c r="C13" t="s">
        <v>13</v>
      </c>
      <c r="D13" s="15">
        <v>6800</v>
      </c>
      <c r="E13" t="s">
        <v>191</v>
      </c>
      <c r="F13" s="15">
        <f t="shared" si="6"/>
        <v>9066.6666666666661</v>
      </c>
      <c r="G13">
        <f>624/16</f>
        <v>39</v>
      </c>
      <c r="H13" s="15">
        <f t="shared" si="7"/>
        <v>232.47863247863248</v>
      </c>
    </row>
    <row r="14" spans="2:11" x14ac:dyDescent="0.35">
      <c r="C14" t="s">
        <v>73</v>
      </c>
      <c r="D14" s="15">
        <v>8650</v>
      </c>
      <c r="E14" t="s">
        <v>191</v>
      </c>
      <c r="F14" s="15">
        <f t="shared" si="6"/>
        <v>11533.333333333334</v>
      </c>
      <c r="G14">
        <f>796/16</f>
        <v>49.75</v>
      </c>
      <c r="H14" s="15">
        <f t="shared" si="7"/>
        <v>231.82579564489114</v>
      </c>
    </row>
    <row r="15" spans="2:11" x14ac:dyDescent="0.35">
      <c r="C15" t="s">
        <v>14</v>
      </c>
      <c r="D15" s="15">
        <v>40000</v>
      </c>
      <c r="E15" t="s">
        <v>191</v>
      </c>
      <c r="F15" s="15">
        <f t="shared" si="6"/>
        <v>53333.333333333336</v>
      </c>
      <c r="G15">
        <f>(432+2400+592+1600)/16</f>
        <v>314</v>
      </c>
      <c r="H15" s="15">
        <f t="shared" si="7"/>
        <v>169.85138004246286</v>
      </c>
    </row>
    <row r="16" spans="2:11" x14ac:dyDescent="0.35">
      <c r="C16" t="s">
        <v>11</v>
      </c>
      <c r="D16" s="15">
        <v>17950</v>
      </c>
      <c r="E16" t="s">
        <v>191</v>
      </c>
      <c r="F16" s="15">
        <f t="shared" si="6"/>
        <v>23933.333333333332</v>
      </c>
      <c r="G16">
        <v>100</v>
      </c>
      <c r="H16" s="15">
        <f t="shared" si="7"/>
        <v>239.33333333333331</v>
      </c>
    </row>
    <row r="17" spans="2:8" x14ac:dyDescent="0.35">
      <c r="D17" s="15">
        <f>SUM(D13:D16)</f>
        <v>73400</v>
      </c>
      <c r="F17" s="15"/>
    </row>
    <row r="18" spans="2:8" x14ac:dyDescent="0.35">
      <c r="F18" s="15"/>
    </row>
    <row r="19" spans="2:8" x14ac:dyDescent="0.35">
      <c r="B19" s="7">
        <v>44341</v>
      </c>
      <c r="C19" t="s">
        <v>11</v>
      </c>
      <c r="D19" s="15">
        <v>21700</v>
      </c>
      <c r="E19" t="s">
        <v>192</v>
      </c>
      <c r="F19" s="15">
        <f t="shared" ref="F19" si="8">+D19/0.75</f>
        <v>28933.333333333332</v>
      </c>
      <c r="G19">
        <f>+(1600+1600+800)/16</f>
        <v>250</v>
      </c>
      <c r="H19" s="15">
        <f t="shared" ref="H19" si="9">+F19/G19</f>
        <v>115.73333333333333</v>
      </c>
    </row>
    <row r="20" spans="2:8" x14ac:dyDescent="0.35">
      <c r="F20" s="15"/>
    </row>
    <row r="21" spans="2:8" x14ac:dyDescent="0.35">
      <c r="C21" t="s">
        <v>4</v>
      </c>
      <c r="D21" s="15">
        <v>33482.29</v>
      </c>
      <c r="E21" t="s">
        <v>193</v>
      </c>
      <c r="F21" s="15"/>
    </row>
    <row r="22" spans="2:8" x14ac:dyDescent="0.35">
      <c r="F22" s="15"/>
    </row>
    <row r="23" spans="2:8" x14ac:dyDescent="0.35">
      <c r="C23" t="s">
        <v>5</v>
      </c>
      <c r="D23" s="15">
        <v>6240</v>
      </c>
      <c r="E23" t="s">
        <v>31</v>
      </c>
      <c r="F23" s="15"/>
      <c r="G23">
        <v>104</v>
      </c>
    </row>
    <row r="24" spans="2:8" x14ac:dyDescent="0.35">
      <c r="F24" s="15"/>
    </row>
    <row r="25" spans="2:8" x14ac:dyDescent="0.35">
      <c r="B25" s="7">
        <v>44383</v>
      </c>
      <c r="C25" t="s">
        <v>11</v>
      </c>
      <c r="D25" s="15">
        <v>500</v>
      </c>
      <c r="E25" t="s">
        <v>194</v>
      </c>
      <c r="F25" s="15">
        <f>D25/0.75</f>
        <v>666.66666666666663</v>
      </c>
      <c r="G25">
        <f>2592/16</f>
        <v>162</v>
      </c>
      <c r="H25" s="15">
        <f t="shared" ref="H25:H28" si="10">+F25/G25</f>
        <v>4.1152263374485596</v>
      </c>
    </row>
    <row r="26" spans="2:8" x14ac:dyDescent="0.35">
      <c r="F26" s="15"/>
    </row>
    <row r="27" spans="2:8" x14ac:dyDescent="0.35">
      <c r="B27" s="7">
        <v>44414</v>
      </c>
      <c r="C27" t="s">
        <v>12</v>
      </c>
      <c r="D27" s="15">
        <f>4100+23700+21300</f>
        <v>49100</v>
      </c>
      <c r="E27" t="s">
        <v>195</v>
      </c>
      <c r="F27" s="15">
        <f>D27/0.5</f>
        <v>98200</v>
      </c>
      <c r="G27" s="9">
        <f>Revenue!R109</f>
        <v>544</v>
      </c>
      <c r="H27" s="15">
        <f t="shared" si="10"/>
        <v>180.51470588235293</v>
      </c>
    </row>
    <row r="28" spans="2:8" x14ac:dyDescent="0.35">
      <c r="C28" t="s">
        <v>10</v>
      </c>
      <c r="D28" s="15">
        <v>38150</v>
      </c>
      <c r="E28" t="s">
        <v>195</v>
      </c>
      <c r="F28" s="15">
        <f>D28/0.5</f>
        <v>76300</v>
      </c>
      <c r="G28" s="9">
        <f>Revenue!P109</f>
        <v>700</v>
      </c>
      <c r="H28" s="15">
        <f t="shared" si="10"/>
        <v>109</v>
      </c>
    </row>
    <row r="29" spans="2:8" x14ac:dyDescent="0.35">
      <c r="D29" s="15">
        <f>SUM(D27:D28)</f>
        <v>87250</v>
      </c>
      <c r="F29" s="15"/>
    </row>
    <row r="30" spans="2:8" x14ac:dyDescent="0.35">
      <c r="F30" s="15"/>
    </row>
    <row r="31" spans="2:8" x14ac:dyDescent="0.35">
      <c r="B31" s="7">
        <v>44460</v>
      </c>
      <c r="C31" t="s">
        <v>77</v>
      </c>
      <c r="D31" s="15">
        <v>36775.629999999997</v>
      </c>
      <c r="E31" t="s">
        <v>196</v>
      </c>
      <c r="F31" s="15"/>
      <c r="G31" s="9"/>
    </row>
    <row r="32" spans="2:8" x14ac:dyDescent="0.35">
      <c r="B32" s="7"/>
      <c r="C32" t="s">
        <v>78</v>
      </c>
      <c r="D32" s="15">
        <v>10103.84</v>
      </c>
      <c r="E32" t="s">
        <v>196</v>
      </c>
      <c r="F32" s="15"/>
      <c r="G32" s="9"/>
    </row>
    <row r="33" spans="2:7" x14ac:dyDescent="0.35">
      <c r="B33" s="7"/>
      <c r="C33" t="s">
        <v>79</v>
      </c>
      <c r="D33" s="15">
        <v>16546.09</v>
      </c>
      <c r="E33" t="s">
        <v>196</v>
      </c>
      <c r="F33" s="15"/>
      <c r="G33" s="9"/>
    </row>
    <row r="34" spans="2:7" x14ac:dyDescent="0.35">
      <c r="B34" s="7"/>
      <c r="C34" t="s">
        <v>82</v>
      </c>
      <c r="D34" s="15">
        <v>3424.27</v>
      </c>
      <c r="E34" t="s">
        <v>196</v>
      </c>
      <c r="F34" s="15"/>
      <c r="G34" s="9"/>
    </row>
    <row r="35" spans="2:7" x14ac:dyDescent="0.35">
      <c r="B35" s="7"/>
      <c r="D35" s="15">
        <f>SUM(D31:D34)</f>
        <v>66849.83</v>
      </c>
      <c r="F35" s="15"/>
      <c r="G35" s="9"/>
    </row>
    <row r="36" spans="2:7" x14ac:dyDescent="0.35">
      <c r="F36" s="15"/>
    </row>
    <row r="37" spans="2:7" x14ac:dyDescent="0.35">
      <c r="B37" s="7">
        <v>44467</v>
      </c>
      <c r="C37" t="s">
        <v>5</v>
      </c>
      <c r="D37" s="15">
        <v>3942.71</v>
      </c>
      <c r="E37" t="s">
        <v>71</v>
      </c>
      <c r="F37" s="15"/>
    </row>
    <row r="38" spans="2:7" x14ac:dyDescent="0.35">
      <c r="F38" s="15"/>
    </row>
    <row r="39" spans="2:7" x14ac:dyDescent="0.35">
      <c r="B39" s="7">
        <v>44488</v>
      </c>
      <c r="D39" s="15">
        <v>105363.86</v>
      </c>
      <c r="E39" t="s">
        <v>197</v>
      </c>
      <c r="F39" s="15"/>
    </row>
    <row r="40" spans="2:7" x14ac:dyDescent="0.35">
      <c r="D40" s="15">
        <v>35275.519999999997</v>
      </c>
      <c r="E40" t="s">
        <v>198</v>
      </c>
      <c r="F40" s="15"/>
    </row>
    <row r="41" spans="2:7" x14ac:dyDescent="0.35">
      <c r="D41" s="15">
        <f>SUM(D39:D40)</f>
        <v>140639.38</v>
      </c>
      <c r="F41" s="15"/>
    </row>
    <row r="42" spans="2:7" x14ac:dyDescent="0.35">
      <c r="F42" s="15"/>
    </row>
    <row r="43" spans="2:7" x14ac:dyDescent="0.35">
      <c r="B43" s="7">
        <v>44544</v>
      </c>
      <c r="C43" t="s">
        <v>13</v>
      </c>
      <c r="D43" s="15">
        <v>813.64</v>
      </c>
      <c r="E43" t="s">
        <v>199</v>
      </c>
      <c r="F43" s="15"/>
    </row>
    <row r="44" spans="2:7" x14ac:dyDescent="0.35">
      <c r="C44" t="s">
        <v>73</v>
      </c>
      <c r="D44" s="15">
        <v>1069.08</v>
      </c>
      <c r="E44" t="s">
        <v>200</v>
      </c>
      <c r="F44" s="15"/>
    </row>
    <row r="45" spans="2:7" x14ac:dyDescent="0.35">
      <c r="F45" s="15"/>
    </row>
    <row r="46" spans="2:7" x14ac:dyDescent="0.35">
      <c r="B46" s="7">
        <v>44561</v>
      </c>
      <c r="C46" t="s">
        <v>12</v>
      </c>
      <c r="D46" s="15">
        <f>5836.78+37658.78+29406.76</f>
        <v>72902.319999999992</v>
      </c>
      <c r="F46" s="15"/>
    </row>
    <row r="47" spans="2:7" x14ac:dyDescent="0.35">
      <c r="C47" t="s">
        <v>10</v>
      </c>
      <c r="D47" s="15">
        <v>53984.05</v>
      </c>
      <c r="F47" s="15"/>
    </row>
    <row r="48" spans="2:7" x14ac:dyDescent="0.35">
      <c r="D48" s="15">
        <f>SUM(D46:D47)</f>
        <v>126886.37</v>
      </c>
      <c r="F48" s="15"/>
    </row>
    <row r="49" spans="2:8" x14ac:dyDescent="0.35">
      <c r="F49" s="15"/>
    </row>
    <row r="50" spans="2:8" x14ac:dyDescent="0.35">
      <c r="B50" s="7">
        <v>44561</v>
      </c>
      <c r="C50" t="s">
        <v>77</v>
      </c>
      <c r="D50" s="15">
        <v>64937.04</v>
      </c>
      <c r="F50" s="15"/>
    </row>
    <row r="51" spans="2:8" x14ac:dyDescent="0.35">
      <c r="C51" t="s">
        <v>78</v>
      </c>
      <c r="D51" s="15">
        <v>12892.54</v>
      </c>
      <c r="F51" s="15"/>
    </row>
    <row r="52" spans="2:8" x14ac:dyDescent="0.35">
      <c r="C52" t="s">
        <v>79</v>
      </c>
      <c r="D52" s="15">
        <v>23115.279999999999</v>
      </c>
      <c r="F52" s="15"/>
    </row>
    <row r="53" spans="2:8" x14ac:dyDescent="0.35">
      <c r="C53" t="s">
        <v>82</v>
      </c>
      <c r="D53" s="15">
        <v>95251.68</v>
      </c>
      <c r="F53" s="15"/>
    </row>
    <row r="54" spans="2:8" x14ac:dyDescent="0.35">
      <c r="D54" s="15">
        <f>SUM(D50:D53)</f>
        <v>196196.53999999998</v>
      </c>
      <c r="F54" s="15"/>
    </row>
    <row r="55" spans="2:8" x14ac:dyDescent="0.35">
      <c r="F55" s="15"/>
    </row>
    <row r="56" spans="2:8" x14ac:dyDescent="0.35">
      <c r="D56" s="15">
        <f>+D5+D9+D11+D17+D19+D21+D23+D25+D29+D37+D41+D43+D44+D48+D35+D54</f>
        <v>912269.83999999985</v>
      </c>
      <c r="F56" s="15"/>
    </row>
    <row r="59" spans="2:8" x14ac:dyDescent="0.35">
      <c r="B59" t="s">
        <v>30</v>
      </c>
      <c r="D59" s="15">
        <f>SUM(D3,D7,D15,D39)</f>
        <v>257813.86</v>
      </c>
      <c r="E59">
        <f>Revenue!T114</f>
        <v>257813.86</v>
      </c>
      <c r="F59" s="15">
        <f>+D59-E59</f>
        <v>0</v>
      </c>
      <c r="H59">
        <f>+D59/Revenue!T109</f>
        <v>270.2451362683438</v>
      </c>
    </row>
    <row r="60" spans="2:8" x14ac:dyDescent="0.35">
      <c r="B60" t="s">
        <v>186</v>
      </c>
      <c r="D60" s="15">
        <f>SUM(D11,D16,D19,D25,D40)</f>
        <v>97375.51999999999</v>
      </c>
      <c r="E60" s="15"/>
    </row>
    <row r="61" spans="2:8" x14ac:dyDescent="0.35">
      <c r="D61" s="15">
        <f>D60/Revenue!Q109</f>
        <v>159.1103267973856</v>
      </c>
      <c r="E61">
        <f>+D61*Revenue!$Q$109</f>
        <v>97375.51999999999</v>
      </c>
    </row>
    <row r="62" spans="2:8" x14ac:dyDescent="0.35">
      <c r="D62" s="15">
        <v>182.52</v>
      </c>
      <c r="E62">
        <f>+D62*Revenue!$Q$109</f>
        <v>111702.24</v>
      </c>
    </row>
    <row r="63" spans="2:8" x14ac:dyDescent="0.35">
      <c r="E63">
        <f>+E62-E61</f>
        <v>14326.720000000016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CDCA-1AC1-45AD-9EBC-656259068E91}">
  <dimension ref="B2:H64"/>
  <sheetViews>
    <sheetView workbookViewId="0">
      <selection activeCell="D34" sqref="D34"/>
    </sheetView>
  </sheetViews>
  <sheetFormatPr defaultRowHeight="14.5" x14ac:dyDescent="0.35"/>
  <cols>
    <col min="2" max="2" width="10.1796875" bestFit="1" customWidth="1"/>
    <col min="4" max="4" width="11.453125" style="15" bestFit="1" customWidth="1"/>
    <col min="5" max="5" width="28.08984375" bestFit="1" customWidth="1"/>
    <col min="6" max="6" width="9.54296875" bestFit="1" customWidth="1"/>
  </cols>
  <sheetData>
    <row r="2" spans="2:8" x14ac:dyDescent="0.35">
      <c r="F2" s="2" t="s">
        <v>33</v>
      </c>
      <c r="G2" s="2" t="s">
        <v>59</v>
      </c>
      <c r="H2" s="2" t="s">
        <v>60</v>
      </c>
    </row>
    <row r="3" spans="2:8" x14ac:dyDescent="0.35">
      <c r="B3" s="7">
        <v>43983</v>
      </c>
      <c r="C3" t="s">
        <v>73</v>
      </c>
      <c r="D3" s="40">
        <v>2400</v>
      </c>
      <c r="F3">
        <f>+D3/0.75</f>
        <v>3200</v>
      </c>
      <c r="G3">
        <f>164/16</f>
        <v>10.25</v>
      </c>
      <c r="H3">
        <f>+F3/G3</f>
        <v>312.19512195121951</v>
      </c>
    </row>
    <row r="4" spans="2:8" x14ac:dyDescent="0.35">
      <c r="C4" t="s">
        <v>5</v>
      </c>
      <c r="D4" s="40">
        <v>20600</v>
      </c>
      <c r="F4">
        <f t="shared" ref="F4:F5" si="0">+D4/0.75</f>
        <v>27466.666666666668</v>
      </c>
      <c r="G4">
        <f>+(3200+1616)/16</f>
        <v>301</v>
      </c>
      <c r="H4">
        <f t="shared" ref="H4:H10" si="1">+F4/G4</f>
        <v>91.251384274640088</v>
      </c>
    </row>
    <row r="5" spans="2:8" x14ac:dyDescent="0.35">
      <c r="C5" t="s">
        <v>11</v>
      </c>
      <c r="D5" s="40">
        <v>64750</v>
      </c>
      <c r="F5">
        <f t="shared" si="0"/>
        <v>86333.333333333328</v>
      </c>
      <c r="G5">
        <f>(800+1600+2792)/16</f>
        <v>324.5</v>
      </c>
      <c r="H5">
        <f t="shared" si="1"/>
        <v>266.050333846944</v>
      </c>
    </row>
    <row r="6" spans="2:8" x14ac:dyDescent="0.35">
      <c r="C6" s="1" t="s">
        <v>33</v>
      </c>
      <c r="D6" s="37">
        <f>SUM(D3:D5)</f>
        <v>87750</v>
      </c>
    </row>
    <row r="8" spans="2:8" x14ac:dyDescent="0.35">
      <c r="B8" s="7">
        <v>43921</v>
      </c>
      <c r="C8" t="s">
        <v>11</v>
      </c>
      <c r="D8" s="40">
        <v>33500</v>
      </c>
      <c r="F8">
        <f>+D8/0.75</f>
        <v>44666.666666666664</v>
      </c>
      <c r="G8">
        <f>(3200)/16</f>
        <v>200</v>
      </c>
      <c r="H8">
        <f t="shared" si="1"/>
        <v>223.33333333333331</v>
      </c>
    </row>
    <row r="9" spans="2:8" x14ac:dyDescent="0.35">
      <c r="C9" t="s">
        <v>14</v>
      </c>
      <c r="D9" s="40">
        <v>75100</v>
      </c>
      <c r="F9">
        <f t="shared" ref="F9:F10" si="2">+D9/0.75</f>
        <v>100133.33333333333</v>
      </c>
      <c r="G9">
        <f>(4608+4488)/16</f>
        <v>568.5</v>
      </c>
      <c r="H9">
        <f t="shared" si="1"/>
        <v>176.13603048959249</v>
      </c>
    </row>
    <row r="10" spans="2:8" x14ac:dyDescent="0.35">
      <c r="C10" t="s">
        <v>5</v>
      </c>
      <c r="D10" s="40">
        <v>16250</v>
      </c>
      <c r="F10">
        <f t="shared" si="2"/>
        <v>21666.666666666668</v>
      </c>
      <c r="G10">
        <f>4624/16</f>
        <v>289</v>
      </c>
      <c r="H10">
        <f t="shared" si="1"/>
        <v>74.971164936562872</v>
      </c>
    </row>
    <row r="11" spans="2:8" x14ac:dyDescent="0.35">
      <c r="C11" s="1" t="s">
        <v>33</v>
      </c>
      <c r="D11" s="37">
        <f>SUM(D8:D10)</f>
        <v>124850</v>
      </c>
    </row>
    <row r="13" spans="2:8" x14ac:dyDescent="0.35">
      <c r="B13" s="7">
        <v>43892</v>
      </c>
      <c r="C13" t="s">
        <v>11</v>
      </c>
      <c r="D13" s="40">
        <v>19300</v>
      </c>
      <c r="F13">
        <f t="shared" ref="F13:F16" si="3">+D13/0.75</f>
        <v>25733.333333333332</v>
      </c>
      <c r="G13">
        <v>100</v>
      </c>
      <c r="H13">
        <f t="shared" ref="H13:H16" si="4">+F13/G13</f>
        <v>257.33333333333331</v>
      </c>
    </row>
    <row r="15" spans="2:8" x14ac:dyDescent="0.35">
      <c r="B15" s="7">
        <v>43864</v>
      </c>
      <c r="C15" t="s">
        <v>74</v>
      </c>
      <c r="D15" s="40">
        <v>9400</v>
      </c>
      <c r="F15">
        <f t="shared" si="3"/>
        <v>12533.333333333334</v>
      </c>
      <c r="G15">
        <f>(656+148)/16</f>
        <v>50.25</v>
      </c>
      <c r="H15">
        <f t="shared" si="4"/>
        <v>249.41956882255391</v>
      </c>
    </row>
    <row r="16" spans="2:8" x14ac:dyDescent="0.35">
      <c r="C16" t="s">
        <v>14</v>
      </c>
      <c r="D16" s="40">
        <v>41600</v>
      </c>
      <c r="F16">
        <f t="shared" si="3"/>
        <v>55466.666666666664</v>
      </c>
      <c r="G16">
        <f>4800/16</f>
        <v>300</v>
      </c>
      <c r="H16">
        <f t="shared" si="4"/>
        <v>184.88888888888889</v>
      </c>
    </row>
    <row r="17" spans="2:8" x14ac:dyDescent="0.35">
      <c r="C17" s="1" t="s">
        <v>33</v>
      </c>
      <c r="D17" s="37">
        <f>SUM(D15:D16)</f>
        <v>51000</v>
      </c>
    </row>
    <row r="19" spans="2:8" x14ac:dyDescent="0.35">
      <c r="B19" s="7">
        <v>43986</v>
      </c>
      <c r="C19" t="s">
        <v>74</v>
      </c>
      <c r="D19" s="40">
        <v>7468.17</v>
      </c>
    </row>
    <row r="22" spans="2:8" x14ac:dyDescent="0.35">
      <c r="B22" s="7">
        <v>43857</v>
      </c>
      <c r="C22" t="s">
        <v>74</v>
      </c>
      <c r="D22" s="40">
        <v>14800</v>
      </c>
      <c r="F22">
        <f t="shared" ref="F22" si="5">+D22/0.75</f>
        <v>19733.333333333332</v>
      </c>
      <c r="G22">
        <f>1056/16</f>
        <v>66</v>
      </c>
      <c r="H22">
        <f t="shared" ref="H22" si="6">+F22/G22</f>
        <v>298.98989898989896</v>
      </c>
    </row>
    <row r="24" spans="2:8" x14ac:dyDescent="0.35">
      <c r="B24" s="7">
        <v>44007</v>
      </c>
      <c r="C24" t="s">
        <v>12</v>
      </c>
      <c r="D24" s="40">
        <v>31200</v>
      </c>
      <c r="F24">
        <f>+D24/0.75</f>
        <v>41600</v>
      </c>
      <c r="G24">
        <v>413</v>
      </c>
      <c r="H24">
        <f>+F24/G24</f>
        <v>100.72639225181598</v>
      </c>
    </row>
    <row r="25" spans="2:8" x14ac:dyDescent="0.35">
      <c r="C25" t="s">
        <v>10</v>
      </c>
    </row>
    <row r="26" spans="2:8" x14ac:dyDescent="0.35">
      <c r="C26" s="3" t="s">
        <v>201</v>
      </c>
      <c r="D26" s="40">
        <v>47050</v>
      </c>
      <c r="F26">
        <f>+D26/0.75</f>
        <v>62733.333333333336</v>
      </c>
      <c r="G26">
        <v>239</v>
      </c>
      <c r="H26">
        <f>+F26/G26</f>
        <v>262.48256624825666</v>
      </c>
    </row>
    <row r="27" spans="2:8" x14ac:dyDescent="0.35">
      <c r="C27" s="3" t="s">
        <v>202</v>
      </c>
      <c r="D27" s="40">
        <f>13100+17600</f>
        <v>30700</v>
      </c>
      <c r="F27">
        <f>+D27/0.75</f>
        <v>40933.333333333336</v>
      </c>
      <c r="G27">
        <v>375</v>
      </c>
      <c r="H27">
        <f>+F27/G27</f>
        <v>109.15555555555557</v>
      </c>
    </row>
    <row r="28" spans="2:8" x14ac:dyDescent="0.35">
      <c r="C28" s="4" t="s">
        <v>33</v>
      </c>
      <c r="D28" s="37">
        <f>SUM(D24:D27)</f>
        <v>108950</v>
      </c>
    </row>
    <row r="30" spans="2:8" x14ac:dyDescent="0.35">
      <c r="B30" s="7">
        <v>44061</v>
      </c>
      <c r="C30" t="s">
        <v>5</v>
      </c>
      <c r="D30" s="40">
        <v>13900.38</v>
      </c>
      <c r="E30" t="s">
        <v>203</v>
      </c>
    </row>
    <row r="32" spans="2:8" x14ac:dyDescent="0.35">
      <c r="B32" s="7">
        <v>44092</v>
      </c>
      <c r="C32" t="s">
        <v>14</v>
      </c>
      <c r="D32" s="40">
        <v>94309.93</v>
      </c>
    </row>
    <row r="33" spans="2:6" x14ac:dyDescent="0.35">
      <c r="C33" t="s">
        <v>11</v>
      </c>
      <c r="D33" s="40">
        <v>44180.24</v>
      </c>
    </row>
    <row r="34" spans="2:6" x14ac:dyDescent="0.35">
      <c r="C34" t="s">
        <v>5</v>
      </c>
      <c r="D34" s="40">
        <v>9921.25</v>
      </c>
      <c r="E34" t="s">
        <v>204</v>
      </c>
    </row>
    <row r="35" spans="2:6" x14ac:dyDescent="0.35">
      <c r="C35" s="1" t="s">
        <v>33</v>
      </c>
      <c r="D35" s="37">
        <f>SUM(D32:D34)</f>
        <v>148411.41999999998</v>
      </c>
    </row>
    <row r="36" spans="2:6" x14ac:dyDescent="0.35">
      <c r="C36" s="1"/>
      <c r="D36" s="38"/>
    </row>
    <row r="37" spans="2:6" x14ac:dyDescent="0.35">
      <c r="B37" s="7">
        <v>44105</v>
      </c>
      <c r="C37" t="s">
        <v>73</v>
      </c>
      <c r="D37" s="40">
        <v>720.35</v>
      </c>
      <c r="E37" t="s">
        <v>71</v>
      </c>
    </row>
    <row r="39" spans="2:6" x14ac:dyDescent="0.35">
      <c r="B39" s="7">
        <v>44110</v>
      </c>
      <c r="C39" t="s">
        <v>174</v>
      </c>
      <c r="D39" s="40">
        <v>85772</v>
      </c>
      <c r="E39" t="s">
        <v>205</v>
      </c>
    </row>
    <row r="40" spans="2:6" x14ac:dyDescent="0.35">
      <c r="B40" s="7"/>
    </row>
    <row r="41" spans="2:6" x14ac:dyDescent="0.35">
      <c r="B41" s="7">
        <v>44126</v>
      </c>
      <c r="D41" s="40">
        <v>56000</v>
      </c>
    </row>
    <row r="42" spans="2:6" x14ac:dyDescent="0.35">
      <c r="B42" s="7"/>
    </row>
    <row r="44" spans="2:6" x14ac:dyDescent="0.35">
      <c r="B44" s="7">
        <v>44140</v>
      </c>
      <c r="C44" t="s">
        <v>10</v>
      </c>
      <c r="D44" s="40">
        <f>16242.03+24702.22</f>
        <v>40944.25</v>
      </c>
      <c r="E44" t="s">
        <v>206</v>
      </c>
      <c r="F44" s="15"/>
    </row>
    <row r="45" spans="2:6" x14ac:dyDescent="0.35">
      <c r="C45" t="s">
        <v>12</v>
      </c>
      <c r="D45" s="40">
        <v>52287.85</v>
      </c>
      <c r="E45" t="s">
        <v>207</v>
      </c>
    </row>
    <row r="46" spans="2:6" x14ac:dyDescent="0.35">
      <c r="D46" s="39">
        <f>SUM(D44:D45)</f>
        <v>93232.1</v>
      </c>
    </row>
    <row r="48" spans="2:6" x14ac:dyDescent="0.35">
      <c r="B48" s="7">
        <v>44131</v>
      </c>
      <c r="C48" t="s">
        <v>10</v>
      </c>
      <c r="D48" s="15">
        <v>13892.62</v>
      </c>
    </row>
    <row r="50" spans="2:6" x14ac:dyDescent="0.35">
      <c r="B50" s="7">
        <v>44196</v>
      </c>
      <c r="C50" t="s">
        <v>77</v>
      </c>
      <c r="D50" s="15">
        <v>56449.88</v>
      </c>
    </row>
    <row r="51" spans="2:6" x14ac:dyDescent="0.35">
      <c r="C51" t="s">
        <v>78</v>
      </c>
      <c r="D51" s="15">
        <v>18469.71</v>
      </c>
    </row>
    <row r="52" spans="2:6" x14ac:dyDescent="0.35">
      <c r="C52" t="s">
        <v>79</v>
      </c>
      <c r="D52" s="15">
        <v>34862.25</v>
      </c>
    </row>
    <row r="53" spans="2:6" x14ac:dyDescent="0.35">
      <c r="C53" t="s">
        <v>82</v>
      </c>
      <c r="D53" s="15">
        <v>66733.710000000006</v>
      </c>
    </row>
    <row r="54" spans="2:6" x14ac:dyDescent="0.35">
      <c r="D54" s="38">
        <f>SUM(D50:D53)</f>
        <v>176515.55</v>
      </c>
    </row>
    <row r="56" spans="2:6" x14ac:dyDescent="0.35">
      <c r="C56" s="1" t="s">
        <v>33</v>
      </c>
      <c r="D56" s="38">
        <f>SUM(D6,D11,D13,D17,D19,D22,D28,D30,D35,D37,D39,D46,D48,D41,D54)</f>
        <v>1002562.5899999999</v>
      </c>
    </row>
    <row r="59" spans="2:6" x14ac:dyDescent="0.35">
      <c r="C59" s="38"/>
      <c r="D59" s="38"/>
    </row>
    <row r="64" spans="2:6" x14ac:dyDescent="0.35">
      <c r="D64"/>
      <c r="F64" s="15"/>
    </row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4A1A1-973A-45DF-9024-BE3099A8B60D}">
  <dimension ref="B2:R36"/>
  <sheetViews>
    <sheetView workbookViewId="0">
      <selection activeCell="H2" sqref="H2:J2"/>
    </sheetView>
  </sheetViews>
  <sheetFormatPr defaultRowHeight="14.5" x14ac:dyDescent="0.35"/>
  <cols>
    <col min="2" max="2" width="10.7265625" bestFit="1" customWidth="1"/>
    <col min="4" max="4" width="10.1796875" bestFit="1" customWidth="1"/>
    <col min="5" max="5" width="1.7265625" customWidth="1"/>
    <col min="6" max="6" width="25.1796875" bestFit="1" customWidth="1"/>
    <col min="8" max="8" width="11.1796875" bestFit="1" customWidth="1"/>
    <col min="10" max="10" width="10.1796875" bestFit="1" customWidth="1"/>
    <col min="12" max="12" width="10.1796875" bestFit="1" customWidth="1"/>
    <col min="18" max="18" width="10.1796875" bestFit="1" customWidth="1"/>
  </cols>
  <sheetData>
    <row r="2" spans="2:10" x14ac:dyDescent="0.35">
      <c r="H2" s="2" t="s">
        <v>33</v>
      </c>
      <c r="I2" s="2" t="s">
        <v>59</v>
      </c>
      <c r="J2" s="2" t="s">
        <v>60</v>
      </c>
    </row>
    <row r="3" spans="2:10" x14ac:dyDescent="0.35">
      <c r="B3" s="7">
        <v>43468</v>
      </c>
      <c r="C3" t="s">
        <v>14</v>
      </c>
      <c r="D3" s="5">
        <v>82950</v>
      </c>
      <c r="F3" t="s">
        <v>208</v>
      </c>
      <c r="H3" s="5">
        <f>+D3/0.75</f>
        <v>110600</v>
      </c>
      <c r="I3" s="15">
        <v>346.75</v>
      </c>
      <c r="J3" s="5">
        <f>+H3/I3</f>
        <v>318.96178803172313</v>
      </c>
    </row>
    <row r="5" spans="2:10" x14ac:dyDescent="0.35">
      <c r="B5" s="7">
        <v>43531</v>
      </c>
      <c r="C5" t="s">
        <v>4</v>
      </c>
      <c r="D5" s="5">
        <v>30600</v>
      </c>
      <c r="E5" s="5"/>
      <c r="F5" t="s">
        <v>209</v>
      </c>
      <c r="H5" s="5">
        <f>+D5/0.75</f>
        <v>40800</v>
      </c>
      <c r="I5" s="15">
        <v>197</v>
      </c>
      <c r="J5" s="5">
        <f>+H5/I5</f>
        <v>207.10659898477158</v>
      </c>
    </row>
    <row r="7" spans="2:10" x14ac:dyDescent="0.35">
      <c r="B7" s="7">
        <v>43566</v>
      </c>
      <c r="C7" t="s">
        <v>11</v>
      </c>
      <c r="D7" s="5">
        <v>45300</v>
      </c>
      <c r="F7" t="s">
        <v>210</v>
      </c>
      <c r="H7" s="5">
        <f>+D7/0.75</f>
        <v>60400</v>
      </c>
      <c r="I7" s="15">
        <v>200</v>
      </c>
      <c r="J7" s="5">
        <f>+H7/I7</f>
        <v>302</v>
      </c>
    </row>
    <row r="8" spans="2:10" x14ac:dyDescent="0.35">
      <c r="B8" s="7">
        <v>43566</v>
      </c>
      <c r="C8" t="s">
        <v>14</v>
      </c>
      <c r="D8" s="5">
        <v>46600</v>
      </c>
      <c r="F8" t="s">
        <v>211</v>
      </c>
      <c r="H8" s="5">
        <f>+D8/0.75</f>
        <v>62133.333333333336</v>
      </c>
      <c r="I8" s="15">
        <v>298.55</v>
      </c>
      <c r="J8" s="5">
        <f t="shared" ref="J8:J9" si="0">+H8/I8</f>
        <v>208.11700999274271</v>
      </c>
    </row>
    <row r="9" spans="2:10" x14ac:dyDescent="0.35">
      <c r="B9" s="7">
        <v>43566</v>
      </c>
      <c r="C9" t="s">
        <v>5</v>
      </c>
      <c r="D9" s="5">
        <v>2700</v>
      </c>
      <c r="F9" t="s">
        <v>212</v>
      </c>
      <c r="H9" s="5">
        <f>+D9/0.75</f>
        <v>3600</v>
      </c>
      <c r="I9" s="15">
        <v>86</v>
      </c>
      <c r="J9" s="5">
        <f t="shared" si="0"/>
        <v>41.860465116279073</v>
      </c>
    </row>
    <row r="11" spans="2:10" x14ac:dyDescent="0.35">
      <c r="B11" s="7">
        <v>43598</v>
      </c>
      <c r="C11" t="s">
        <v>11</v>
      </c>
      <c r="D11" s="5">
        <v>21850</v>
      </c>
      <c r="F11" t="s">
        <v>213</v>
      </c>
      <c r="H11" s="5">
        <f>+D11/0.75</f>
        <v>29133.333333333332</v>
      </c>
      <c r="I11" s="15">
        <v>100</v>
      </c>
      <c r="J11" s="5">
        <f t="shared" ref="J11:J13" si="1">+H11/I11</f>
        <v>291.33333333333331</v>
      </c>
    </row>
    <row r="12" spans="2:10" x14ac:dyDescent="0.35">
      <c r="B12" s="7">
        <v>43598</v>
      </c>
      <c r="C12" t="s">
        <v>5</v>
      </c>
      <c r="D12" s="5">
        <v>2250</v>
      </c>
      <c r="F12" t="s">
        <v>214</v>
      </c>
      <c r="H12" s="5">
        <f>+D12/0.75</f>
        <v>3000</v>
      </c>
      <c r="I12" s="15">
        <v>196</v>
      </c>
      <c r="J12" s="5">
        <f t="shared" si="1"/>
        <v>15.306122448979592</v>
      </c>
    </row>
    <row r="13" spans="2:10" x14ac:dyDescent="0.35">
      <c r="B13" s="7">
        <v>43598</v>
      </c>
      <c r="C13" t="s">
        <v>5</v>
      </c>
      <c r="D13" s="5">
        <v>550</v>
      </c>
      <c r="F13" t="s">
        <v>215</v>
      </c>
      <c r="H13" s="5">
        <f>+D13/0.75</f>
        <v>733.33333333333337</v>
      </c>
      <c r="I13" s="15">
        <v>171</v>
      </c>
      <c r="J13" s="5">
        <f t="shared" si="1"/>
        <v>4.2884990253411308</v>
      </c>
    </row>
    <row r="15" spans="2:10" x14ac:dyDescent="0.35">
      <c r="B15" s="7">
        <v>43608</v>
      </c>
      <c r="C15" t="s">
        <v>4</v>
      </c>
      <c r="D15" s="5">
        <v>11712.5</v>
      </c>
      <c r="F15" t="s">
        <v>193</v>
      </c>
    </row>
    <row r="16" spans="2:10" x14ac:dyDescent="0.35">
      <c r="H16" s="5"/>
    </row>
    <row r="17" spans="2:18" x14ac:dyDescent="0.35">
      <c r="B17" s="7">
        <v>43621</v>
      </c>
      <c r="C17" t="s">
        <v>10</v>
      </c>
      <c r="D17" s="5">
        <v>24400</v>
      </c>
      <c r="F17" t="s">
        <v>216</v>
      </c>
      <c r="H17" s="5">
        <f>+D17/0.75</f>
        <v>32533.333333333332</v>
      </c>
      <c r="I17" s="15">
        <v>176</v>
      </c>
      <c r="J17" s="5">
        <f t="shared" ref="J17:J24" si="2">+H17/I17</f>
        <v>184.84848484848484</v>
      </c>
      <c r="L17" s="5"/>
    </row>
    <row r="18" spans="2:18" x14ac:dyDescent="0.35">
      <c r="B18" s="7">
        <v>43621</v>
      </c>
      <c r="C18" t="s">
        <v>11</v>
      </c>
      <c r="D18" s="5">
        <v>36400</v>
      </c>
      <c r="F18" t="s">
        <v>217</v>
      </c>
      <c r="H18" s="5">
        <f>+D18/0.75</f>
        <v>48533.333333333336</v>
      </c>
      <c r="I18" s="15">
        <v>178</v>
      </c>
      <c r="J18" s="5">
        <f t="shared" si="2"/>
        <v>272.65917602996257</v>
      </c>
      <c r="L18" s="15"/>
    </row>
    <row r="19" spans="2:18" x14ac:dyDescent="0.35">
      <c r="H19" s="5"/>
    </row>
    <row r="20" spans="2:18" x14ac:dyDescent="0.35">
      <c r="B20" s="7">
        <v>43651</v>
      </c>
      <c r="C20" t="s">
        <v>12</v>
      </c>
      <c r="D20" s="5">
        <v>14250</v>
      </c>
      <c r="F20" t="s">
        <v>218</v>
      </c>
      <c r="H20" s="5">
        <f>+D20/0.75</f>
        <v>19000</v>
      </c>
      <c r="I20" s="15">
        <v>403</v>
      </c>
      <c r="J20" s="5">
        <f t="shared" si="2"/>
        <v>47.146401985111666</v>
      </c>
      <c r="R20" s="5"/>
    </row>
    <row r="21" spans="2:18" x14ac:dyDescent="0.35">
      <c r="R21" s="5"/>
    </row>
    <row r="22" spans="2:18" x14ac:dyDescent="0.35">
      <c r="B22" s="7">
        <v>43685</v>
      </c>
      <c r="C22" t="s">
        <v>5</v>
      </c>
      <c r="D22" s="5">
        <v>2750</v>
      </c>
      <c r="F22" t="s">
        <v>219</v>
      </c>
      <c r="H22" s="5">
        <f>+D22/0.75</f>
        <v>3666.6666666666665</v>
      </c>
      <c r="I22" s="15">
        <v>130</v>
      </c>
      <c r="J22" s="5">
        <f t="shared" si="2"/>
        <v>28.205128205128204</v>
      </c>
    </row>
    <row r="23" spans="2:18" x14ac:dyDescent="0.35">
      <c r="R23" s="5"/>
    </row>
    <row r="24" spans="2:18" x14ac:dyDescent="0.35">
      <c r="B24" s="7">
        <v>43706</v>
      </c>
      <c r="C24" t="s">
        <v>10</v>
      </c>
      <c r="D24" s="5">
        <v>11850</v>
      </c>
      <c r="F24" t="s">
        <v>220</v>
      </c>
      <c r="H24" s="5">
        <f>+D24/0.75</f>
        <v>15800</v>
      </c>
      <c r="I24" s="15">
        <v>548</v>
      </c>
      <c r="J24" s="5">
        <f t="shared" si="2"/>
        <v>28.832116788321169</v>
      </c>
    </row>
    <row r="26" spans="2:18" x14ac:dyDescent="0.35">
      <c r="B26" s="7">
        <v>43720</v>
      </c>
      <c r="C26" t="s">
        <v>11</v>
      </c>
      <c r="D26" s="5">
        <v>34671.839999999997</v>
      </c>
      <c r="F26" t="s">
        <v>221</v>
      </c>
    </row>
    <row r="27" spans="2:18" x14ac:dyDescent="0.35">
      <c r="J27" s="5"/>
      <c r="K27" s="5"/>
      <c r="L27" s="5"/>
    </row>
    <row r="28" spans="2:18" x14ac:dyDescent="0.35">
      <c r="B28" s="7">
        <v>43733</v>
      </c>
      <c r="C28" t="s">
        <v>5</v>
      </c>
      <c r="D28">
        <v>4068.55</v>
      </c>
      <c r="F28" t="s">
        <v>71</v>
      </c>
      <c r="J28" s="5"/>
      <c r="K28" s="5"/>
      <c r="L28" s="5"/>
    </row>
    <row r="29" spans="2:18" x14ac:dyDescent="0.35">
      <c r="J29" s="5"/>
      <c r="K29" s="5"/>
      <c r="L29" s="5"/>
    </row>
    <row r="30" spans="2:18" x14ac:dyDescent="0.35">
      <c r="B30" s="7">
        <v>43734</v>
      </c>
      <c r="C30" t="s">
        <v>14</v>
      </c>
      <c r="D30">
        <v>80485.75</v>
      </c>
      <c r="F30" t="s">
        <v>197</v>
      </c>
    </row>
    <row r="31" spans="2:18" x14ac:dyDescent="0.35">
      <c r="C31" t="s">
        <v>5</v>
      </c>
      <c r="D31">
        <f>18928.49-100.73</f>
        <v>18827.760000000002</v>
      </c>
      <c r="F31" t="s">
        <v>222</v>
      </c>
    </row>
    <row r="32" spans="2:18" x14ac:dyDescent="0.35">
      <c r="K32" s="15"/>
    </row>
    <row r="33" spans="2:10" x14ac:dyDescent="0.35">
      <c r="B33" s="7">
        <v>43783</v>
      </c>
      <c r="C33" t="s">
        <v>10</v>
      </c>
      <c r="D33">
        <v>9646.32</v>
      </c>
      <c r="F33" t="s">
        <v>223</v>
      </c>
      <c r="J33" s="5"/>
    </row>
    <row r="34" spans="2:10" x14ac:dyDescent="0.35">
      <c r="C34" t="s">
        <v>10</v>
      </c>
      <c r="D34">
        <v>17642.830000000002</v>
      </c>
      <c r="F34" t="s">
        <v>224</v>
      </c>
    </row>
    <row r="35" spans="2:10" x14ac:dyDescent="0.35">
      <c r="C35" t="s">
        <v>12</v>
      </c>
      <c r="D35">
        <v>10004</v>
      </c>
      <c r="F35" t="s">
        <v>225</v>
      </c>
    </row>
    <row r="36" spans="2:10" x14ac:dyDescent="0.35">
      <c r="C36" t="s">
        <v>5</v>
      </c>
      <c r="D36">
        <v>-103.3</v>
      </c>
      <c r="F36" t="s">
        <v>226</v>
      </c>
    </row>
  </sheetData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A702-BE38-4AA1-9E53-B934C7CFE363}">
  <dimension ref="B4:H92"/>
  <sheetViews>
    <sheetView topLeftCell="A10" zoomScale="85" zoomScaleNormal="85" workbookViewId="0"/>
  </sheetViews>
  <sheetFormatPr defaultRowHeight="14.5" x14ac:dyDescent="0.35"/>
  <cols>
    <col min="2" max="2" width="10.7265625" customWidth="1"/>
    <col min="3" max="3" width="12.81640625" bestFit="1" customWidth="1"/>
    <col min="5" max="5" width="12.81640625" bestFit="1" customWidth="1"/>
    <col min="6" max="6" width="25.26953125" bestFit="1" customWidth="1"/>
    <col min="8" max="8" width="11.26953125" bestFit="1" customWidth="1"/>
  </cols>
  <sheetData>
    <row r="4" spans="2:8" x14ac:dyDescent="0.35">
      <c r="B4" s="17">
        <v>43102</v>
      </c>
      <c r="D4" t="s">
        <v>14</v>
      </c>
      <c r="E4" s="11">
        <v>51750</v>
      </c>
      <c r="F4" t="s">
        <v>227</v>
      </c>
      <c r="H4" s="5"/>
    </row>
    <row r="5" spans="2:8" x14ac:dyDescent="0.35">
      <c r="B5" s="17"/>
      <c r="E5" s="11"/>
    </row>
    <row r="6" spans="2:8" x14ac:dyDescent="0.35">
      <c r="B6" s="17">
        <v>43132</v>
      </c>
      <c r="D6" t="s">
        <v>4</v>
      </c>
      <c r="E6" s="11">
        <v>12300</v>
      </c>
      <c r="F6" t="s">
        <v>228</v>
      </c>
    </row>
    <row r="7" spans="2:8" x14ac:dyDescent="0.35">
      <c r="B7" s="17"/>
      <c r="E7" s="11"/>
    </row>
    <row r="8" spans="2:8" x14ac:dyDescent="0.35">
      <c r="E8" s="10"/>
    </row>
    <row r="9" spans="2:8" x14ac:dyDescent="0.35">
      <c r="B9" s="17">
        <v>43165</v>
      </c>
      <c r="D9" t="s">
        <v>14</v>
      </c>
      <c r="E9" s="11">
        <v>50800</v>
      </c>
      <c r="F9" t="s">
        <v>229</v>
      </c>
    </row>
    <row r="10" spans="2:8" x14ac:dyDescent="0.35">
      <c r="D10" t="s">
        <v>11</v>
      </c>
      <c r="E10" s="11">
        <v>47850</v>
      </c>
      <c r="F10" t="s">
        <v>230</v>
      </c>
    </row>
    <row r="11" spans="2:8" x14ac:dyDescent="0.35">
      <c r="E11" s="5"/>
    </row>
    <row r="12" spans="2:8" x14ac:dyDescent="0.35">
      <c r="B12" s="17">
        <v>43208</v>
      </c>
      <c r="D12" t="s">
        <v>4</v>
      </c>
      <c r="E12" s="11">
        <v>5686.97</v>
      </c>
      <c r="F12" t="s">
        <v>231</v>
      </c>
    </row>
    <row r="14" spans="2:8" x14ac:dyDescent="0.35">
      <c r="D14" t="s">
        <v>5</v>
      </c>
      <c r="E14" s="11">
        <v>47000</v>
      </c>
      <c r="F14" t="s">
        <v>232</v>
      </c>
    </row>
    <row r="15" spans="2:8" x14ac:dyDescent="0.35">
      <c r="D15" t="s">
        <v>5</v>
      </c>
      <c r="E15" s="11">
        <v>43950</v>
      </c>
    </row>
    <row r="16" spans="2:8" x14ac:dyDescent="0.35">
      <c r="E16" s="5"/>
    </row>
    <row r="17" spans="2:8" x14ac:dyDescent="0.35">
      <c r="B17" s="7">
        <v>43224</v>
      </c>
      <c r="D17" t="s">
        <v>14</v>
      </c>
      <c r="E17" s="11">
        <v>6100</v>
      </c>
      <c r="F17" t="s">
        <v>233</v>
      </c>
    </row>
    <row r="19" spans="2:8" x14ac:dyDescent="0.35">
      <c r="B19" s="7">
        <v>43257</v>
      </c>
      <c r="D19" t="s">
        <v>14</v>
      </c>
      <c r="E19" s="11">
        <v>29600</v>
      </c>
      <c r="F19" t="s">
        <v>234</v>
      </c>
    </row>
    <row r="21" spans="2:8" x14ac:dyDescent="0.35">
      <c r="B21" s="7">
        <v>43292</v>
      </c>
      <c r="D21" t="s">
        <v>12</v>
      </c>
      <c r="E21" s="11">
        <v>18450</v>
      </c>
      <c r="F21" t="s">
        <v>235</v>
      </c>
    </row>
    <row r="22" spans="2:8" x14ac:dyDescent="0.35">
      <c r="D22" t="s">
        <v>10</v>
      </c>
      <c r="E22" s="11">
        <f>63850+71550</f>
        <v>135400</v>
      </c>
      <c r="F22" t="s">
        <v>236</v>
      </c>
    </row>
    <row r="23" spans="2:8" x14ac:dyDescent="0.35">
      <c r="E23" s="5"/>
    </row>
    <row r="24" spans="2:8" x14ac:dyDescent="0.35">
      <c r="B24" s="7">
        <v>43295</v>
      </c>
      <c r="D24" t="s">
        <v>11</v>
      </c>
      <c r="E24" s="11">
        <v>19846.310000000001</v>
      </c>
    </row>
    <row r="25" spans="2:8" x14ac:dyDescent="0.35">
      <c r="D25" t="s">
        <v>11</v>
      </c>
      <c r="E25" s="11">
        <v>-121.65</v>
      </c>
    </row>
    <row r="27" spans="2:8" x14ac:dyDescent="0.35">
      <c r="B27" s="7">
        <v>43293</v>
      </c>
      <c r="D27" t="s">
        <v>5</v>
      </c>
      <c r="E27" s="11">
        <v>42712.72</v>
      </c>
      <c r="F27" t="s">
        <v>237</v>
      </c>
      <c r="H27" s="5"/>
    </row>
    <row r="29" spans="2:8" x14ac:dyDescent="0.35">
      <c r="B29" s="7">
        <v>43312</v>
      </c>
      <c r="D29" t="s">
        <v>14</v>
      </c>
      <c r="E29" s="11">
        <v>135170.32</v>
      </c>
      <c r="F29" t="s">
        <v>238</v>
      </c>
    </row>
    <row r="31" spans="2:8" x14ac:dyDescent="0.35">
      <c r="B31" s="7">
        <v>43343</v>
      </c>
      <c r="D31" t="s">
        <v>5</v>
      </c>
      <c r="E31" s="11">
        <v>33569.74</v>
      </c>
      <c r="F31" t="s">
        <v>239</v>
      </c>
    </row>
    <row r="33" spans="2:8" x14ac:dyDescent="0.35">
      <c r="B33" s="7">
        <v>43370</v>
      </c>
      <c r="D33" t="s">
        <v>10</v>
      </c>
      <c r="E33" s="11">
        <v>40117.11</v>
      </c>
      <c r="F33" t="s">
        <v>240</v>
      </c>
    </row>
    <row r="34" spans="2:8" x14ac:dyDescent="0.35">
      <c r="D34" t="s">
        <v>10</v>
      </c>
      <c r="E34" s="11">
        <v>40436.550000000003</v>
      </c>
      <c r="F34" t="s">
        <v>241</v>
      </c>
    </row>
    <row r="35" spans="2:8" x14ac:dyDescent="0.35">
      <c r="D35" t="s">
        <v>12</v>
      </c>
      <c r="E35" s="11">
        <v>10928.02</v>
      </c>
      <c r="F35" t="s">
        <v>242</v>
      </c>
    </row>
    <row r="36" spans="2:8" x14ac:dyDescent="0.35">
      <c r="C36" s="5"/>
    </row>
    <row r="37" spans="2:8" x14ac:dyDescent="0.35">
      <c r="B37" s="7">
        <v>43375</v>
      </c>
      <c r="C37" s="5"/>
      <c r="D37" t="s">
        <v>77</v>
      </c>
      <c r="E37" s="5">
        <v>22314</v>
      </c>
      <c r="F37" t="s">
        <v>243</v>
      </c>
    </row>
    <row r="38" spans="2:8" x14ac:dyDescent="0.35">
      <c r="B38" s="7"/>
      <c r="C38" s="5"/>
      <c r="D38" t="s">
        <v>78</v>
      </c>
      <c r="E38" s="5">
        <v>0</v>
      </c>
    </row>
    <row r="39" spans="2:8" x14ac:dyDescent="0.35">
      <c r="B39" s="7"/>
      <c r="C39" s="5"/>
      <c r="D39" t="s">
        <v>79</v>
      </c>
      <c r="E39" s="5">
        <v>6979</v>
      </c>
    </row>
    <row r="40" spans="2:8" x14ac:dyDescent="0.35">
      <c r="B40" s="7"/>
      <c r="C40" s="5"/>
      <c r="D40" t="s">
        <v>82</v>
      </c>
      <c r="E40" s="5">
        <v>67648</v>
      </c>
    </row>
    <row r="41" spans="2:8" x14ac:dyDescent="0.35">
      <c r="B41" s="7"/>
      <c r="C41" s="5"/>
      <c r="E41" s="5"/>
    </row>
    <row r="42" spans="2:8" x14ac:dyDescent="0.35">
      <c r="B42" s="7">
        <v>43465</v>
      </c>
      <c r="C42" s="5"/>
      <c r="D42" t="s">
        <v>77</v>
      </c>
      <c r="E42" s="5">
        <v>99165.86</v>
      </c>
    </row>
    <row r="43" spans="2:8" x14ac:dyDescent="0.35">
      <c r="B43" s="7"/>
      <c r="C43" s="5"/>
      <c r="D43" t="s">
        <v>78</v>
      </c>
      <c r="E43" s="5">
        <v>42373.919999999998</v>
      </c>
    </row>
    <row r="44" spans="2:8" x14ac:dyDescent="0.35">
      <c r="B44" s="7"/>
      <c r="C44" s="5"/>
      <c r="D44" t="s">
        <v>79</v>
      </c>
      <c r="E44" s="5">
        <v>54546.400000000001</v>
      </c>
      <c r="H44">
        <v>1616</v>
      </c>
    </row>
    <row r="45" spans="2:8" x14ac:dyDescent="0.35">
      <c r="B45" s="7"/>
      <c r="C45" s="5"/>
      <c r="D45" t="s">
        <v>82</v>
      </c>
      <c r="E45" s="5">
        <v>127928.5</v>
      </c>
      <c r="H45">
        <v>1536</v>
      </c>
    </row>
    <row r="46" spans="2:8" x14ac:dyDescent="0.35">
      <c r="F46" s="5"/>
      <c r="H46">
        <f>SUM(H44:H45)</f>
        <v>3152</v>
      </c>
    </row>
    <row r="47" spans="2:8" x14ac:dyDescent="0.35">
      <c r="E47" s="5"/>
      <c r="H47">
        <f>+H46/16</f>
        <v>197</v>
      </c>
    </row>
    <row r="48" spans="2:8" x14ac:dyDescent="0.35">
      <c r="E48" s="5"/>
    </row>
    <row r="49" spans="2:5" x14ac:dyDescent="0.35">
      <c r="E49" s="5"/>
    </row>
    <row r="50" spans="2:5" x14ac:dyDescent="0.35">
      <c r="E50" s="5"/>
    </row>
    <row r="51" spans="2:5" x14ac:dyDescent="0.35">
      <c r="E51" s="5"/>
    </row>
    <row r="52" spans="2:5" x14ac:dyDescent="0.35">
      <c r="B52" s="1" t="s">
        <v>30</v>
      </c>
    </row>
    <row r="53" spans="2:5" x14ac:dyDescent="0.35">
      <c r="B53" s="6"/>
      <c r="C53" s="6" t="s">
        <v>244</v>
      </c>
      <c r="D53" s="6"/>
      <c r="E53" s="6"/>
    </row>
    <row r="54" spans="2:5" x14ac:dyDescent="0.35">
      <c r="B54" s="2" t="s">
        <v>245</v>
      </c>
      <c r="C54" s="2" t="s">
        <v>33</v>
      </c>
      <c r="D54" s="2" t="s">
        <v>59</v>
      </c>
      <c r="E54" s="2" t="s">
        <v>60</v>
      </c>
    </row>
    <row r="55" spans="2:5" x14ac:dyDescent="0.35">
      <c r="B55" s="5">
        <v>51750</v>
      </c>
      <c r="C55" s="5">
        <f>+B55/0.75</f>
        <v>69000</v>
      </c>
      <c r="D55">
        <v>270</v>
      </c>
      <c r="E55" s="5">
        <f>+C55/D55</f>
        <v>255.55555555555554</v>
      </c>
    </row>
    <row r="56" spans="2:5" x14ac:dyDescent="0.35">
      <c r="B56" s="5">
        <v>50800</v>
      </c>
      <c r="C56" s="5">
        <f t="shared" ref="C56:C58" si="0">+B56/0.75</f>
        <v>67733.333333333328</v>
      </c>
      <c r="D56">
        <v>215</v>
      </c>
      <c r="E56" s="5">
        <f t="shared" ref="E56:E58" si="1">+C56/D56</f>
        <v>315.03875968992247</v>
      </c>
    </row>
    <row r="57" spans="2:5" x14ac:dyDescent="0.35">
      <c r="B57" s="5">
        <v>6100</v>
      </c>
      <c r="C57" s="5">
        <f t="shared" si="0"/>
        <v>8133.333333333333</v>
      </c>
      <c r="D57">
        <v>35</v>
      </c>
      <c r="E57" s="5">
        <f t="shared" si="1"/>
        <v>232.38095238095238</v>
      </c>
    </row>
    <row r="58" spans="2:5" x14ac:dyDescent="0.35">
      <c r="B58" s="5">
        <v>29600</v>
      </c>
      <c r="C58" s="5">
        <f t="shared" si="0"/>
        <v>39466.666666666664</v>
      </c>
      <c r="D58">
        <v>300</v>
      </c>
      <c r="E58" s="5">
        <f t="shared" si="1"/>
        <v>131.55555555555554</v>
      </c>
    </row>
    <row r="59" spans="2:5" x14ac:dyDescent="0.35">
      <c r="B59" s="1" t="s">
        <v>246</v>
      </c>
      <c r="C59" s="5"/>
      <c r="D59" s="24"/>
      <c r="E59" s="8">
        <f>SUMPRODUCT(D55:D58,E55:E58)/SUM(D55:D58)</f>
        <v>224.79674796747966</v>
      </c>
    </row>
    <row r="60" spans="2:5" x14ac:dyDescent="0.35">
      <c r="E60" s="14"/>
    </row>
    <row r="61" spans="2:5" x14ac:dyDescent="0.35">
      <c r="B61" s="1" t="s">
        <v>5</v>
      </c>
    </row>
    <row r="62" spans="2:5" x14ac:dyDescent="0.35">
      <c r="B62" s="6"/>
      <c r="C62" s="6" t="s">
        <v>244</v>
      </c>
      <c r="D62" s="6"/>
      <c r="E62" s="6"/>
    </row>
    <row r="63" spans="2:5" x14ac:dyDescent="0.35">
      <c r="B63" s="2" t="s">
        <v>245</v>
      </c>
      <c r="C63" s="2" t="s">
        <v>33</v>
      </c>
      <c r="D63" s="2" t="s">
        <v>59</v>
      </c>
      <c r="E63" s="2" t="s">
        <v>60</v>
      </c>
    </row>
    <row r="64" spans="2:5" x14ac:dyDescent="0.35">
      <c r="B64" s="5"/>
      <c r="C64" s="5">
        <f>+E27+E14</f>
        <v>89712.72</v>
      </c>
      <c r="D64">
        <v>300</v>
      </c>
      <c r="E64" s="5">
        <f>+C64/D64</f>
        <v>299.04239999999999</v>
      </c>
    </row>
    <row r="65" spans="2:5" x14ac:dyDescent="0.35">
      <c r="B65" s="5">
        <f>+E15</f>
        <v>43950</v>
      </c>
      <c r="C65" s="5">
        <f>+E15+E31</f>
        <v>77519.739999999991</v>
      </c>
      <c r="D65">
        <v>261</v>
      </c>
      <c r="E65" s="5">
        <f t="shared" ref="E65" si="2">+C65/D65</f>
        <v>297.01049808429116</v>
      </c>
    </row>
    <row r="66" spans="2:5" x14ac:dyDescent="0.35">
      <c r="B66" s="1" t="s">
        <v>246</v>
      </c>
      <c r="C66" s="5"/>
      <c r="D66" s="24"/>
      <c r="E66" s="8">
        <f>SUMPRODUCT(D64:D65,E64:E65)/SUM(D64:D65)</f>
        <v>298.09707664884132</v>
      </c>
    </row>
    <row r="67" spans="2:5" x14ac:dyDescent="0.35">
      <c r="C67" s="16"/>
      <c r="E67" s="5"/>
    </row>
    <row r="68" spans="2:5" x14ac:dyDescent="0.35">
      <c r="E68" s="14"/>
    </row>
    <row r="70" spans="2:5" x14ac:dyDescent="0.35">
      <c r="B70" s="7"/>
      <c r="E70" s="5"/>
    </row>
    <row r="71" spans="2:5" x14ac:dyDescent="0.35">
      <c r="E71" s="5"/>
    </row>
    <row r="72" spans="2:5" x14ac:dyDescent="0.35">
      <c r="B72" s="7"/>
      <c r="E72" s="5"/>
    </row>
    <row r="73" spans="2:5" x14ac:dyDescent="0.35">
      <c r="E73" s="5"/>
    </row>
    <row r="74" spans="2:5" x14ac:dyDescent="0.35">
      <c r="E74" s="14"/>
    </row>
    <row r="75" spans="2:5" x14ac:dyDescent="0.35">
      <c r="E75" s="5"/>
    </row>
    <row r="76" spans="2:5" x14ac:dyDescent="0.35">
      <c r="B76" t="s">
        <v>2</v>
      </c>
      <c r="C76" s="5">
        <f>SUMIFS($E$4:$E$45,$D$4:$D$45,B76)</f>
        <v>0</v>
      </c>
      <c r="E76" s="5"/>
    </row>
    <row r="77" spans="2:5" x14ac:dyDescent="0.35">
      <c r="B77" t="s">
        <v>4</v>
      </c>
      <c r="C77" s="5">
        <f t="shared" ref="C77:C78" si="3">SUMIFS($E$4:$E$45,$D$4:$D$45,B77)</f>
        <v>17986.97</v>
      </c>
    </row>
    <row r="78" spans="2:5" x14ac:dyDescent="0.35">
      <c r="B78" t="s">
        <v>5</v>
      </c>
      <c r="C78" s="5">
        <f t="shared" si="3"/>
        <v>167232.46</v>
      </c>
    </row>
    <row r="79" spans="2:5" x14ac:dyDescent="0.35">
      <c r="B79" t="s">
        <v>77</v>
      </c>
      <c r="C79" s="5">
        <f t="shared" ref="C79:C86" si="4">SUMIFS($E$4:$E$45,$D$4:$D$45,B79)</f>
        <v>121479.86</v>
      </c>
      <c r="E79" s="5"/>
    </row>
    <row r="80" spans="2:5" x14ac:dyDescent="0.35">
      <c r="B80" t="s">
        <v>78</v>
      </c>
      <c r="C80" s="5">
        <f t="shared" si="4"/>
        <v>42373.919999999998</v>
      </c>
    </row>
    <row r="81" spans="2:3" x14ac:dyDescent="0.35">
      <c r="B81" t="s">
        <v>79</v>
      </c>
      <c r="C81" s="5">
        <f t="shared" si="4"/>
        <v>61525.4</v>
      </c>
    </row>
    <row r="82" spans="2:3" x14ac:dyDescent="0.35">
      <c r="B82" t="s">
        <v>82</v>
      </c>
      <c r="C82" s="5">
        <f t="shared" si="4"/>
        <v>195576.5</v>
      </c>
    </row>
    <row r="83" spans="2:3" x14ac:dyDescent="0.35">
      <c r="B83" t="s">
        <v>10</v>
      </c>
      <c r="C83" s="5">
        <f t="shared" si="4"/>
        <v>215953.65999999997</v>
      </c>
    </row>
    <row r="84" spans="2:3" x14ac:dyDescent="0.35">
      <c r="B84" t="s">
        <v>11</v>
      </c>
      <c r="C84" s="5">
        <f t="shared" si="4"/>
        <v>67574.66</v>
      </c>
    </row>
    <row r="85" spans="2:3" x14ac:dyDescent="0.35">
      <c r="B85" t="s">
        <v>12</v>
      </c>
      <c r="C85" s="5">
        <f t="shared" si="4"/>
        <v>29378.02</v>
      </c>
    </row>
    <row r="86" spans="2:3" x14ac:dyDescent="0.35">
      <c r="B86" t="s">
        <v>14</v>
      </c>
      <c r="C86" s="5">
        <f t="shared" si="4"/>
        <v>273420.32</v>
      </c>
    </row>
    <row r="87" spans="2:3" x14ac:dyDescent="0.35">
      <c r="B87" s="1" t="s">
        <v>33</v>
      </c>
      <c r="C87" s="8">
        <f>SUM(C76:C86)</f>
        <v>1192501.77</v>
      </c>
    </row>
    <row r="89" spans="2:3" x14ac:dyDescent="0.35">
      <c r="C89" s="5"/>
    </row>
    <row r="90" spans="2:3" x14ac:dyDescent="0.35">
      <c r="C90" s="5"/>
    </row>
    <row r="91" spans="2:3" x14ac:dyDescent="0.35">
      <c r="C91" s="5"/>
    </row>
    <row r="92" spans="2:3" x14ac:dyDescent="0.35">
      <c r="C92" s="5"/>
    </row>
  </sheetData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G72"/>
  <sheetViews>
    <sheetView topLeftCell="A10" zoomScale="85" zoomScaleNormal="85" workbookViewId="0">
      <selection activeCell="F42" sqref="F42"/>
    </sheetView>
  </sheetViews>
  <sheetFormatPr defaultRowHeight="14.5" x14ac:dyDescent="0.35"/>
  <cols>
    <col min="2" max="2" width="10.7265625" customWidth="1"/>
    <col min="3" max="3" width="11.54296875" bestFit="1" customWidth="1"/>
    <col min="5" max="5" width="11.54296875" bestFit="1" customWidth="1"/>
    <col min="6" max="6" width="25.26953125" bestFit="1" customWidth="1"/>
    <col min="7" max="7" width="11.26953125" bestFit="1" customWidth="1"/>
  </cols>
  <sheetData>
    <row r="4" spans="2:6" x14ac:dyDescent="0.35">
      <c r="B4" s="17">
        <v>42857</v>
      </c>
      <c r="C4" t="s">
        <v>247</v>
      </c>
      <c r="D4" t="s">
        <v>12</v>
      </c>
      <c r="E4" s="5">
        <v>5900</v>
      </c>
    </row>
    <row r="5" spans="2:6" x14ac:dyDescent="0.35">
      <c r="B5" s="17"/>
      <c r="C5" t="s">
        <v>248</v>
      </c>
      <c r="D5" t="s">
        <v>5</v>
      </c>
      <c r="E5" s="5">
        <v>8200</v>
      </c>
      <c r="F5" t="s">
        <v>249</v>
      </c>
    </row>
    <row r="6" spans="2:6" x14ac:dyDescent="0.35">
      <c r="B6" s="17"/>
      <c r="E6" s="12">
        <f>SUM(E4:E5)</f>
        <v>14100</v>
      </c>
    </row>
    <row r="7" spans="2:6" x14ac:dyDescent="0.35">
      <c r="B7" s="17"/>
      <c r="E7" s="5"/>
    </row>
    <row r="8" spans="2:6" x14ac:dyDescent="0.35">
      <c r="B8" s="17">
        <v>42888</v>
      </c>
      <c r="C8" t="s">
        <v>202</v>
      </c>
      <c r="D8" t="s">
        <v>10</v>
      </c>
      <c r="E8" s="64">
        <v>83050</v>
      </c>
    </row>
    <row r="9" spans="2:6" x14ac:dyDescent="0.35">
      <c r="B9" s="17"/>
      <c r="E9" s="14"/>
    </row>
    <row r="10" spans="2:6" x14ac:dyDescent="0.35">
      <c r="B10" s="17">
        <v>42908</v>
      </c>
      <c r="D10" t="s">
        <v>11</v>
      </c>
      <c r="E10" s="64">
        <v>12708.45</v>
      </c>
    </row>
    <row r="11" spans="2:6" x14ac:dyDescent="0.35">
      <c r="B11" s="17"/>
      <c r="E11" s="5"/>
    </row>
    <row r="12" spans="2:6" x14ac:dyDescent="0.35">
      <c r="B12" s="17">
        <v>42917</v>
      </c>
      <c r="C12" t="s">
        <v>248</v>
      </c>
      <c r="D12" t="s">
        <v>5</v>
      </c>
      <c r="E12" s="11">
        <v>5018.1899999999996</v>
      </c>
    </row>
    <row r="13" spans="2:6" x14ac:dyDescent="0.35">
      <c r="B13" s="17"/>
      <c r="E13" s="5"/>
    </row>
    <row r="14" spans="2:6" x14ac:dyDescent="0.35">
      <c r="B14" s="17">
        <v>42914</v>
      </c>
      <c r="C14" t="s">
        <v>201</v>
      </c>
      <c r="D14" t="s">
        <v>5</v>
      </c>
      <c r="E14" s="64">
        <v>68250</v>
      </c>
      <c r="F14" t="s">
        <v>250</v>
      </c>
    </row>
    <row r="15" spans="2:6" x14ac:dyDescent="0.35">
      <c r="E15" s="5"/>
    </row>
    <row r="16" spans="2:6" x14ac:dyDescent="0.35">
      <c r="B16" s="7">
        <v>42927</v>
      </c>
      <c r="D16" t="s">
        <v>30</v>
      </c>
      <c r="E16" s="64">
        <v>71645.13</v>
      </c>
      <c r="F16" s="5"/>
    </row>
    <row r="17" spans="2:7" x14ac:dyDescent="0.35">
      <c r="F17" s="5"/>
    </row>
    <row r="18" spans="2:7" x14ac:dyDescent="0.35">
      <c r="B18" s="7">
        <v>42968</v>
      </c>
      <c r="C18" t="s">
        <v>247</v>
      </c>
      <c r="D18" t="s">
        <v>12</v>
      </c>
      <c r="E18" s="64">
        <v>4958.51</v>
      </c>
      <c r="F18" s="7"/>
    </row>
    <row r="19" spans="2:7" x14ac:dyDescent="0.35">
      <c r="B19" s="7"/>
      <c r="E19" s="5"/>
      <c r="F19" s="7"/>
    </row>
    <row r="20" spans="2:7" x14ac:dyDescent="0.35">
      <c r="B20" s="7">
        <v>42998</v>
      </c>
      <c r="C20" t="s">
        <v>201</v>
      </c>
      <c r="D20" t="s">
        <v>5</v>
      </c>
      <c r="E20" s="11">
        <v>34310.21</v>
      </c>
      <c r="F20" s="7"/>
    </row>
    <row r="22" spans="2:7" x14ac:dyDescent="0.35">
      <c r="B22" s="7">
        <v>43006</v>
      </c>
      <c r="D22" t="s">
        <v>77</v>
      </c>
      <c r="E22" s="5">
        <v>7853</v>
      </c>
    </row>
    <row r="23" spans="2:7" x14ac:dyDescent="0.35">
      <c r="D23" t="s">
        <v>78</v>
      </c>
      <c r="E23" s="5">
        <v>15468</v>
      </c>
    </row>
    <row r="24" spans="2:7" x14ac:dyDescent="0.35">
      <c r="B24" s="7"/>
      <c r="D24" t="s">
        <v>79</v>
      </c>
      <c r="E24" s="5">
        <v>20593</v>
      </c>
    </row>
    <row r="25" spans="2:7" x14ac:dyDescent="0.35">
      <c r="D25" t="s">
        <v>82</v>
      </c>
      <c r="E25" s="5">
        <v>100496</v>
      </c>
    </row>
    <row r="26" spans="2:7" x14ac:dyDescent="0.35">
      <c r="B26" s="7"/>
      <c r="E26" s="12">
        <f>SUM(E22:E25)</f>
        <v>144410</v>
      </c>
    </row>
    <row r="27" spans="2:7" x14ac:dyDescent="0.35">
      <c r="E27" s="5"/>
    </row>
    <row r="28" spans="2:7" x14ac:dyDescent="0.35">
      <c r="B28" s="7">
        <v>43006</v>
      </c>
      <c r="C28" t="s">
        <v>202</v>
      </c>
      <c r="D28" t="s">
        <v>10</v>
      </c>
      <c r="E28" s="64">
        <v>60713.72</v>
      </c>
    </row>
    <row r="30" spans="2:7" x14ac:dyDescent="0.35">
      <c r="B30" s="7">
        <v>43099</v>
      </c>
      <c r="D30" t="s">
        <v>77</v>
      </c>
      <c r="E30" s="5">
        <v>151707.73000000001</v>
      </c>
    </row>
    <row r="31" spans="2:7" x14ac:dyDescent="0.35">
      <c r="D31" t="s">
        <v>78</v>
      </c>
      <c r="E31" s="5">
        <v>22927.200000000001</v>
      </c>
    </row>
    <row r="32" spans="2:7" x14ac:dyDescent="0.35">
      <c r="B32" s="7"/>
      <c r="D32" t="s">
        <v>79</v>
      </c>
      <c r="E32" s="5">
        <v>34286.870000000003</v>
      </c>
      <c r="G32" s="5"/>
    </row>
    <row r="33" spans="2:6" x14ac:dyDescent="0.35">
      <c r="D33" t="s">
        <v>82</v>
      </c>
      <c r="E33" s="5">
        <v>139686.60999999999</v>
      </c>
    </row>
    <row r="34" spans="2:6" x14ac:dyDescent="0.35">
      <c r="E34" s="8">
        <f>SUM(E30:E33)</f>
        <v>348608.41000000003</v>
      </c>
      <c r="F34" s="5"/>
    </row>
    <row r="35" spans="2:6" x14ac:dyDescent="0.35">
      <c r="E35" s="5"/>
    </row>
    <row r="36" spans="2:6" x14ac:dyDescent="0.35">
      <c r="B36" s="7"/>
      <c r="E36" s="5"/>
    </row>
    <row r="37" spans="2:6" x14ac:dyDescent="0.35">
      <c r="B37" t="s">
        <v>2</v>
      </c>
      <c r="C37" s="5">
        <f t="shared" ref="C37:C47" si="0">SUMIFS($E$4:$E$53,$D$4:$D$53,B37)</f>
        <v>0</v>
      </c>
      <c r="E37" s="5"/>
    </row>
    <row r="38" spans="2:6" x14ac:dyDescent="0.35">
      <c r="B38" t="s">
        <v>251</v>
      </c>
      <c r="C38" s="5">
        <f t="shared" si="0"/>
        <v>0</v>
      </c>
      <c r="E38" s="14"/>
    </row>
    <row r="39" spans="2:6" x14ac:dyDescent="0.35">
      <c r="B39" t="s">
        <v>5</v>
      </c>
      <c r="C39" s="5">
        <f t="shared" si="0"/>
        <v>115778.4</v>
      </c>
    </row>
    <row r="40" spans="2:6" x14ac:dyDescent="0.35">
      <c r="B40" t="s">
        <v>77</v>
      </c>
      <c r="C40" s="5">
        <f t="shared" si="0"/>
        <v>159560.73000000001</v>
      </c>
      <c r="E40" s="5"/>
      <c r="F40" s="5">
        <f>117373.48-C39</f>
        <v>1595.0800000000017</v>
      </c>
    </row>
    <row r="41" spans="2:6" x14ac:dyDescent="0.35">
      <c r="B41" t="s">
        <v>78</v>
      </c>
      <c r="C41" s="5">
        <f t="shared" si="0"/>
        <v>38395.199999999997</v>
      </c>
      <c r="F41">
        <v>117373.48</v>
      </c>
    </row>
    <row r="42" spans="2:6" x14ac:dyDescent="0.35">
      <c r="B42" t="s">
        <v>79</v>
      </c>
      <c r="C42" s="5">
        <f t="shared" si="0"/>
        <v>54879.87</v>
      </c>
      <c r="E42" s="5"/>
      <c r="F42" s="5">
        <f>F41-E20-E14</f>
        <v>14813.26999999999</v>
      </c>
    </row>
    <row r="43" spans="2:6" x14ac:dyDescent="0.35">
      <c r="B43" t="s">
        <v>82</v>
      </c>
      <c r="C43" s="5">
        <f t="shared" si="0"/>
        <v>240182.61</v>
      </c>
    </row>
    <row r="44" spans="2:6" x14ac:dyDescent="0.35">
      <c r="B44" t="s">
        <v>10</v>
      </c>
      <c r="C44" s="5">
        <f t="shared" si="0"/>
        <v>143763.72</v>
      </c>
      <c r="E44" s="5"/>
    </row>
    <row r="45" spans="2:6" x14ac:dyDescent="0.35">
      <c r="B45" t="s">
        <v>11</v>
      </c>
      <c r="C45" s="5">
        <f t="shared" si="0"/>
        <v>12708.45</v>
      </c>
      <c r="E45" s="5"/>
    </row>
    <row r="46" spans="2:6" x14ac:dyDescent="0.35">
      <c r="B46" t="s">
        <v>12</v>
      </c>
      <c r="C46" s="5">
        <f t="shared" si="0"/>
        <v>10858.51</v>
      </c>
      <c r="E46" s="5"/>
    </row>
    <row r="47" spans="2:6" x14ac:dyDescent="0.35">
      <c r="B47" t="s">
        <v>30</v>
      </c>
      <c r="C47" s="5">
        <f t="shared" si="0"/>
        <v>71645.13</v>
      </c>
      <c r="E47" s="5"/>
    </row>
    <row r="48" spans="2:6" x14ac:dyDescent="0.35">
      <c r="B48" s="1" t="s">
        <v>33</v>
      </c>
      <c r="C48" s="8">
        <f>SUM(C37:C47)</f>
        <v>847772.62</v>
      </c>
      <c r="E48" s="14"/>
    </row>
    <row r="50" spans="2:5" x14ac:dyDescent="0.35">
      <c r="B50" s="7"/>
      <c r="C50">
        <v>511494.53</v>
      </c>
      <c r="E50" s="5"/>
    </row>
    <row r="51" spans="2:5" x14ac:dyDescent="0.35">
      <c r="C51">
        <v>-11440</v>
      </c>
      <c r="E51" s="5"/>
    </row>
    <row r="52" spans="2:5" x14ac:dyDescent="0.35">
      <c r="B52" s="7"/>
      <c r="C52">
        <v>-403.89</v>
      </c>
      <c r="E52" s="5"/>
    </row>
    <row r="53" spans="2:5" x14ac:dyDescent="0.35">
      <c r="C53">
        <v>-486.43</v>
      </c>
      <c r="E53" s="5"/>
    </row>
    <row r="54" spans="2:5" x14ac:dyDescent="0.35">
      <c r="C54">
        <f>SUM(C50:C53)</f>
        <v>499164.21</v>
      </c>
      <c r="E54" s="14"/>
    </row>
    <row r="55" spans="2:5" x14ac:dyDescent="0.35">
      <c r="C55" s="5">
        <f>+C54+E34</f>
        <v>847772.62000000011</v>
      </c>
      <c r="E55" s="5"/>
    </row>
    <row r="56" spans="2:5" x14ac:dyDescent="0.35">
      <c r="E56" s="5"/>
    </row>
    <row r="59" spans="2:5" x14ac:dyDescent="0.35">
      <c r="C59">
        <v>876728.58</v>
      </c>
      <c r="E59" s="5"/>
    </row>
    <row r="60" spans="2:5" x14ac:dyDescent="0.35">
      <c r="C60" s="5">
        <f>C59-C55</f>
        <v>28955.959999999846</v>
      </c>
    </row>
    <row r="70" spans="3:3" x14ac:dyDescent="0.35">
      <c r="C70" s="5"/>
    </row>
    <row r="72" spans="3:3" x14ac:dyDescent="0.35">
      <c r="C72" s="5"/>
    </row>
  </sheetData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4:G69"/>
  <sheetViews>
    <sheetView topLeftCell="A34" zoomScale="85" zoomScaleNormal="85" workbookViewId="0">
      <selection activeCell="G61" sqref="G61"/>
    </sheetView>
  </sheetViews>
  <sheetFormatPr defaultRowHeight="14.5" x14ac:dyDescent="0.35"/>
  <cols>
    <col min="2" max="2" width="10.7265625" bestFit="1" customWidth="1"/>
    <col min="3" max="3" width="11.54296875" bestFit="1" customWidth="1"/>
    <col min="5" max="5" width="11.54296875" bestFit="1" customWidth="1"/>
    <col min="6" max="6" width="10.453125" bestFit="1" customWidth="1"/>
  </cols>
  <sheetData>
    <row r="4" spans="2:5" x14ac:dyDescent="0.35">
      <c r="B4" s="7">
        <v>42471</v>
      </c>
      <c r="C4" t="s">
        <v>248</v>
      </c>
      <c r="D4" t="s">
        <v>5</v>
      </c>
      <c r="E4" s="5">
        <v>7700</v>
      </c>
    </row>
    <row r="5" spans="2:5" x14ac:dyDescent="0.35">
      <c r="E5" s="5"/>
    </row>
    <row r="6" spans="2:5" x14ac:dyDescent="0.35">
      <c r="B6" s="7">
        <v>42501</v>
      </c>
      <c r="C6" t="s">
        <v>252</v>
      </c>
      <c r="D6" t="s">
        <v>2</v>
      </c>
      <c r="E6" s="5">
        <v>7650</v>
      </c>
    </row>
    <row r="7" spans="2:5" x14ac:dyDescent="0.35">
      <c r="C7" t="s">
        <v>248</v>
      </c>
      <c r="D7" t="s">
        <v>5</v>
      </c>
      <c r="E7" s="5">
        <v>3800</v>
      </c>
    </row>
    <row r="8" spans="2:5" x14ac:dyDescent="0.35">
      <c r="C8" t="s">
        <v>247</v>
      </c>
      <c r="D8" t="s">
        <v>2</v>
      </c>
      <c r="E8" s="5">
        <v>23300</v>
      </c>
    </row>
    <row r="9" spans="2:5" x14ac:dyDescent="0.35">
      <c r="E9" s="8">
        <f>SUM(E6:E8)</f>
        <v>34750</v>
      </c>
    </row>
    <row r="10" spans="2:5" x14ac:dyDescent="0.35">
      <c r="E10" s="5"/>
    </row>
    <row r="11" spans="2:5" x14ac:dyDescent="0.35">
      <c r="B11" s="7">
        <v>42527</v>
      </c>
      <c r="C11" t="s">
        <v>252</v>
      </c>
      <c r="D11" t="s">
        <v>5</v>
      </c>
      <c r="E11" s="5">
        <v>3900</v>
      </c>
    </row>
    <row r="13" spans="2:5" x14ac:dyDescent="0.35">
      <c r="B13" s="7">
        <v>42550</v>
      </c>
      <c r="C13" t="s">
        <v>201</v>
      </c>
      <c r="D13" t="s">
        <v>251</v>
      </c>
      <c r="E13" s="5">
        <v>1000</v>
      </c>
    </row>
    <row r="14" spans="2:5" x14ac:dyDescent="0.35">
      <c r="C14" t="s">
        <v>201</v>
      </c>
      <c r="D14" t="s">
        <v>5</v>
      </c>
      <c r="E14" s="5">
        <v>5000</v>
      </c>
    </row>
    <row r="15" spans="2:5" x14ac:dyDescent="0.35">
      <c r="C15" t="s">
        <v>202</v>
      </c>
      <c r="D15" t="s">
        <v>10</v>
      </c>
      <c r="E15" s="5">
        <v>7000</v>
      </c>
    </row>
    <row r="16" spans="2:5" x14ac:dyDescent="0.35">
      <c r="E16" s="8">
        <f>SUM(E13:E15)</f>
        <v>13000</v>
      </c>
    </row>
    <row r="18" spans="2:5" x14ac:dyDescent="0.35">
      <c r="B18" s="7">
        <v>42569</v>
      </c>
      <c r="C18" t="s">
        <v>252</v>
      </c>
      <c r="D18" t="s">
        <v>30</v>
      </c>
      <c r="E18" s="5">
        <v>76700.259999999995</v>
      </c>
    </row>
    <row r="20" spans="2:5" x14ac:dyDescent="0.35">
      <c r="B20" s="7">
        <v>42573</v>
      </c>
      <c r="C20" t="s">
        <v>248</v>
      </c>
      <c r="D20" t="s">
        <v>5</v>
      </c>
      <c r="E20" s="5">
        <v>9566.81</v>
      </c>
    </row>
    <row r="22" spans="2:5" x14ac:dyDescent="0.35">
      <c r="B22" s="7">
        <v>42579</v>
      </c>
      <c r="D22" t="s">
        <v>11</v>
      </c>
      <c r="E22" s="5">
        <v>2567.59</v>
      </c>
    </row>
    <row r="24" spans="2:5" x14ac:dyDescent="0.35">
      <c r="B24" s="7">
        <v>42578</v>
      </c>
      <c r="C24" t="s">
        <v>253</v>
      </c>
      <c r="D24" t="s">
        <v>251</v>
      </c>
      <c r="E24" s="5">
        <v>5950</v>
      </c>
    </row>
    <row r="25" spans="2:5" x14ac:dyDescent="0.35">
      <c r="E25" s="5"/>
    </row>
    <row r="26" spans="2:5" x14ac:dyDescent="0.35">
      <c r="B26" s="7">
        <v>42600</v>
      </c>
      <c r="C26" t="s">
        <v>247</v>
      </c>
      <c r="D26" t="s">
        <v>2</v>
      </c>
      <c r="E26" s="5">
        <v>28290.71</v>
      </c>
    </row>
    <row r="28" spans="2:5" x14ac:dyDescent="0.35">
      <c r="B28" s="7">
        <v>42599</v>
      </c>
      <c r="C28" t="s">
        <v>202</v>
      </c>
      <c r="D28" t="s">
        <v>10</v>
      </c>
      <c r="E28" s="5">
        <v>23700</v>
      </c>
    </row>
    <row r="30" spans="2:5" x14ac:dyDescent="0.35">
      <c r="B30" s="7">
        <v>42619</v>
      </c>
      <c r="C30" t="s">
        <v>252</v>
      </c>
      <c r="D30" t="s">
        <v>2</v>
      </c>
      <c r="E30" s="5">
        <v>9125.2900000000009</v>
      </c>
    </row>
    <row r="31" spans="2:5" x14ac:dyDescent="0.35">
      <c r="C31" t="s">
        <v>252</v>
      </c>
      <c r="D31" t="s">
        <v>5</v>
      </c>
      <c r="E31" s="5">
        <v>5326.15</v>
      </c>
    </row>
    <row r="32" spans="2:5" x14ac:dyDescent="0.35">
      <c r="E32" s="8">
        <f>SUM(E30:E31)</f>
        <v>14451.44</v>
      </c>
    </row>
    <row r="33" spans="2:7" x14ac:dyDescent="0.35">
      <c r="E33" s="5"/>
    </row>
    <row r="34" spans="2:7" x14ac:dyDescent="0.35">
      <c r="B34" s="7">
        <v>42649</v>
      </c>
      <c r="C34" t="s">
        <v>201</v>
      </c>
      <c r="D34" t="s">
        <v>251</v>
      </c>
      <c r="E34" s="5">
        <v>296.41000000000003</v>
      </c>
    </row>
    <row r="35" spans="2:7" x14ac:dyDescent="0.35">
      <c r="C35" t="s">
        <v>201</v>
      </c>
      <c r="D35" t="s">
        <v>5</v>
      </c>
      <c r="E35" s="5">
        <v>4660.55</v>
      </c>
    </row>
    <row r="36" spans="2:7" x14ac:dyDescent="0.35">
      <c r="E36" s="8">
        <f>SUM(E34:E35)</f>
        <v>4956.96</v>
      </c>
    </row>
    <row r="38" spans="2:7" x14ac:dyDescent="0.35">
      <c r="B38" s="7">
        <v>42668</v>
      </c>
      <c r="C38" t="s">
        <v>253</v>
      </c>
      <c r="D38" t="s">
        <v>251</v>
      </c>
      <c r="E38" s="5">
        <v>2074.36</v>
      </c>
    </row>
    <row r="40" spans="2:7" x14ac:dyDescent="0.35">
      <c r="B40" s="7">
        <v>42671</v>
      </c>
      <c r="C40" t="s">
        <v>202</v>
      </c>
      <c r="D40" t="s">
        <v>10</v>
      </c>
      <c r="E40" s="5">
        <v>26475.38</v>
      </c>
    </row>
    <row r="42" spans="2:7" x14ac:dyDescent="0.35">
      <c r="B42" s="7">
        <v>42696</v>
      </c>
      <c r="C42" s="16">
        <f>Revenue!F54</f>
        <v>532</v>
      </c>
      <c r="D42" t="s">
        <v>2</v>
      </c>
      <c r="E42" s="5">
        <f>$E$46*(C42/SUM($C$42:$C$45))</f>
        <v>7365.7760946745566</v>
      </c>
    </row>
    <row r="43" spans="2:7" x14ac:dyDescent="0.35">
      <c r="C43" s="16">
        <f>Revenue!G54</f>
        <v>254</v>
      </c>
      <c r="D43" t="s">
        <v>251</v>
      </c>
      <c r="E43" s="5">
        <f t="shared" ref="E43:E45" si="0">$E$46*(C43/SUM($C$42:$C$45))</f>
        <v>3516.7427218934913</v>
      </c>
    </row>
    <row r="44" spans="2:7" x14ac:dyDescent="0.35">
      <c r="C44" s="16">
        <f>+Revenue!K54</f>
        <v>818</v>
      </c>
      <c r="D44" t="s">
        <v>5</v>
      </c>
      <c r="E44" s="66">
        <f t="shared" si="0"/>
        <v>11325.57301775148</v>
      </c>
      <c r="G44" s="65" t="s">
        <v>254</v>
      </c>
    </row>
    <row r="45" spans="2:7" x14ac:dyDescent="0.35">
      <c r="C45" s="16">
        <f>Revenue!P54</f>
        <v>762</v>
      </c>
      <c r="D45" t="s">
        <v>10</v>
      </c>
      <c r="E45" s="5">
        <f t="shared" si="0"/>
        <v>10550.228165680473</v>
      </c>
    </row>
    <row r="46" spans="2:7" x14ac:dyDescent="0.35">
      <c r="E46" s="8">
        <v>32758.32</v>
      </c>
    </row>
    <row r="48" spans="2:7" x14ac:dyDescent="0.35">
      <c r="B48" s="7">
        <v>42734</v>
      </c>
      <c r="D48" t="s">
        <v>77</v>
      </c>
      <c r="E48" s="5">
        <v>90685.64</v>
      </c>
    </row>
    <row r="49" spans="2:6" x14ac:dyDescent="0.35">
      <c r="D49" t="s">
        <v>78</v>
      </c>
      <c r="E49" s="5">
        <v>25937.71</v>
      </c>
    </row>
    <row r="50" spans="2:6" x14ac:dyDescent="0.35">
      <c r="B50" s="7"/>
      <c r="D50" t="s">
        <v>79</v>
      </c>
      <c r="E50" s="5">
        <v>44203.73</v>
      </c>
    </row>
    <row r="51" spans="2:6" x14ac:dyDescent="0.35">
      <c r="D51" t="s">
        <v>82</v>
      </c>
      <c r="E51" s="5">
        <v>102618</v>
      </c>
    </row>
    <row r="52" spans="2:6" x14ac:dyDescent="0.35">
      <c r="E52" s="8">
        <f>SUM(E48:E51)</f>
        <v>263445.08</v>
      </c>
    </row>
    <row r="53" spans="2:6" x14ac:dyDescent="0.35">
      <c r="E53" s="5"/>
    </row>
    <row r="54" spans="2:6" x14ac:dyDescent="0.35">
      <c r="B54" t="s">
        <v>2</v>
      </c>
      <c r="C54" s="5">
        <f t="shared" ref="C54:C63" si="1">SUMIFS($E$4:$E$51,$D$4:$D$51,B54)</f>
        <v>75731.776094674555</v>
      </c>
      <c r="E54" s="5"/>
    </row>
    <row r="55" spans="2:6" x14ac:dyDescent="0.35">
      <c r="B55" t="s">
        <v>251</v>
      </c>
      <c r="C55" s="5">
        <f t="shared" si="1"/>
        <v>12837.512721893492</v>
      </c>
    </row>
    <row r="56" spans="2:6" x14ac:dyDescent="0.35">
      <c r="B56" t="s">
        <v>5</v>
      </c>
      <c r="C56" s="5">
        <f>SUMIFS($E$4:$E$51,$D$4:$D$51,B56)</f>
        <v>51279.08301775148</v>
      </c>
      <c r="E56">
        <v>39953.51</v>
      </c>
      <c r="F56" s="5">
        <f>C56-E56</f>
        <v>11325.573017751478</v>
      </c>
    </row>
    <row r="57" spans="2:6" x14ac:dyDescent="0.35">
      <c r="B57" t="s">
        <v>77</v>
      </c>
      <c r="C57" s="5">
        <f t="shared" si="1"/>
        <v>90685.64</v>
      </c>
      <c r="E57" s="5"/>
    </row>
    <row r="58" spans="2:6" x14ac:dyDescent="0.35">
      <c r="B58" t="s">
        <v>78</v>
      </c>
      <c r="C58" s="5">
        <f t="shared" si="1"/>
        <v>25937.71</v>
      </c>
    </row>
    <row r="59" spans="2:6" x14ac:dyDescent="0.35">
      <c r="B59" t="s">
        <v>79</v>
      </c>
      <c r="C59" s="5">
        <f t="shared" si="1"/>
        <v>44203.73</v>
      </c>
    </row>
    <row r="60" spans="2:6" x14ac:dyDescent="0.35">
      <c r="B60" t="s">
        <v>82</v>
      </c>
      <c r="C60" s="5">
        <f t="shared" si="1"/>
        <v>102618</v>
      </c>
    </row>
    <row r="61" spans="2:6" x14ac:dyDescent="0.35">
      <c r="B61" t="s">
        <v>10</v>
      </c>
      <c r="C61" s="5">
        <f t="shared" si="1"/>
        <v>67725.608165680474</v>
      </c>
    </row>
    <row r="62" spans="2:6" x14ac:dyDescent="0.35">
      <c r="B62" t="s">
        <v>11</v>
      </c>
      <c r="C62" s="5">
        <f t="shared" si="1"/>
        <v>2567.59</v>
      </c>
    </row>
    <row r="63" spans="2:6" x14ac:dyDescent="0.35">
      <c r="B63" t="s">
        <v>30</v>
      </c>
      <c r="C63" s="5">
        <f t="shared" si="1"/>
        <v>76700.259999999995</v>
      </c>
    </row>
    <row r="64" spans="2:6" x14ac:dyDescent="0.35">
      <c r="B64" s="1" t="s">
        <v>33</v>
      </c>
      <c r="C64" s="8">
        <f>SUM(C54:C63)</f>
        <v>550286.91</v>
      </c>
    </row>
    <row r="67" spans="3:3" x14ac:dyDescent="0.35">
      <c r="C67" s="5"/>
    </row>
    <row r="69" spans="3:3" x14ac:dyDescent="0.35">
      <c r="C69" s="5"/>
    </row>
  </sheetData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31"/>
  <sheetViews>
    <sheetView workbookViewId="0">
      <selection activeCell="F24" sqref="F24"/>
    </sheetView>
  </sheetViews>
  <sheetFormatPr defaultRowHeight="14.5" x14ac:dyDescent="0.35"/>
  <cols>
    <col min="2" max="2" width="10.7265625" bestFit="1" customWidth="1"/>
    <col min="5" max="5" width="11.1796875" bestFit="1" customWidth="1"/>
    <col min="7" max="7" width="11.1796875" bestFit="1" customWidth="1"/>
  </cols>
  <sheetData>
    <row r="2" spans="2:7" x14ac:dyDescent="0.35">
      <c r="B2" s="7">
        <v>42128</v>
      </c>
      <c r="C2" t="s">
        <v>247</v>
      </c>
      <c r="D2" t="s">
        <v>2</v>
      </c>
      <c r="E2" s="5">
        <v>17750</v>
      </c>
    </row>
    <row r="3" spans="2:7" x14ac:dyDescent="0.35">
      <c r="C3" t="s">
        <v>247</v>
      </c>
      <c r="D3" t="s">
        <v>251</v>
      </c>
      <c r="E3" s="5">
        <v>3300</v>
      </c>
    </row>
    <row r="4" spans="2:7" x14ac:dyDescent="0.35">
      <c r="C4" t="s">
        <v>252</v>
      </c>
      <c r="D4" t="s">
        <v>251</v>
      </c>
      <c r="E4" s="5">
        <v>6650</v>
      </c>
    </row>
    <row r="5" spans="2:7" x14ac:dyDescent="0.35">
      <c r="C5" t="s">
        <v>252</v>
      </c>
      <c r="D5" t="s">
        <v>5</v>
      </c>
      <c r="E5" s="5">
        <v>32350</v>
      </c>
    </row>
    <row r="6" spans="2:7" x14ac:dyDescent="0.35">
      <c r="E6" s="8">
        <f>SUM(E2:E5)</f>
        <v>60050</v>
      </c>
    </row>
    <row r="8" spans="2:7" x14ac:dyDescent="0.35">
      <c r="B8" s="7">
        <v>42157</v>
      </c>
      <c r="C8" t="s">
        <v>202</v>
      </c>
      <c r="D8" t="s">
        <v>10</v>
      </c>
      <c r="E8" s="5">
        <v>76800</v>
      </c>
    </row>
    <row r="9" spans="2:7" x14ac:dyDescent="0.35">
      <c r="G9" s="5"/>
    </row>
    <row r="10" spans="2:7" x14ac:dyDescent="0.35">
      <c r="B10" s="7">
        <v>42174</v>
      </c>
      <c r="D10" t="s">
        <v>14</v>
      </c>
      <c r="E10" s="5">
        <v>5218.05</v>
      </c>
    </row>
    <row r="12" spans="2:7" x14ac:dyDescent="0.35">
      <c r="B12" s="7">
        <v>42247</v>
      </c>
      <c r="C12" t="s">
        <v>247</v>
      </c>
      <c r="D12" t="s">
        <v>2</v>
      </c>
      <c r="E12" s="5">
        <v>24461.71</v>
      </c>
      <c r="G12" s="5"/>
    </row>
    <row r="13" spans="2:7" x14ac:dyDescent="0.35">
      <c r="C13" t="s">
        <v>247</v>
      </c>
      <c r="D13" t="s">
        <v>251</v>
      </c>
      <c r="E13" s="5">
        <v>5063.74</v>
      </c>
    </row>
    <row r="14" spans="2:7" x14ac:dyDescent="0.35">
      <c r="E14" s="8">
        <f>SUM(E12:E13)</f>
        <v>29525.449999999997</v>
      </c>
    </row>
    <row r="16" spans="2:7" x14ac:dyDescent="0.35">
      <c r="B16" s="7">
        <v>42248</v>
      </c>
      <c r="C16" t="s">
        <v>252</v>
      </c>
      <c r="D16" t="s">
        <v>251</v>
      </c>
      <c r="E16" s="5">
        <v>9244.7000000000007</v>
      </c>
      <c r="G16" s="5"/>
    </row>
    <row r="17" spans="2:7" x14ac:dyDescent="0.35">
      <c r="D17" t="s">
        <v>5</v>
      </c>
      <c r="E17" s="5">
        <v>36012.39</v>
      </c>
      <c r="G17" s="5"/>
    </row>
    <row r="18" spans="2:7" x14ac:dyDescent="0.35">
      <c r="E18" s="8">
        <f>SUM(E16:E17)</f>
        <v>45257.09</v>
      </c>
    </row>
    <row r="20" spans="2:7" x14ac:dyDescent="0.35">
      <c r="B20" s="7">
        <v>42268</v>
      </c>
      <c r="D20" t="s">
        <v>78</v>
      </c>
      <c r="E20" s="5">
        <v>4543</v>
      </c>
    </row>
    <row r="21" spans="2:7" x14ac:dyDescent="0.35">
      <c r="D21" t="s">
        <v>79</v>
      </c>
      <c r="E21" s="5">
        <v>9340</v>
      </c>
    </row>
    <row r="22" spans="2:7" x14ac:dyDescent="0.35">
      <c r="D22" t="s">
        <v>82</v>
      </c>
      <c r="E22" s="5">
        <v>38497</v>
      </c>
    </row>
    <row r="23" spans="2:7" x14ac:dyDescent="0.35">
      <c r="E23" s="8">
        <f>SUM(E20:E22)</f>
        <v>52380</v>
      </c>
    </row>
    <row r="25" spans="2:7" x14ac:dyDescent="0.35">
      <c r="B25" s="7">
        <v>42268</v>
      </c>
      <c r="D25" t="s">
        <v>10</v>
      </c>
      <c r="E25" s="5">
        <v>58058.91</v>
      </c>
    </row>
    <row r="27" spans="2:7" x14ac:dyDescent="0.35">
      <c r="B27" s="7">
        <v>42369</v>
      </c>
      <c r="D27" t="s">
        <v>77</v>
      </c>
      <c r="E27" s="5">
        <v>83261.600000000006</v>
      </c>
    </row>
    <row r="28" spans="2:7" x14ac:dyDescent="0.35">
      <c r="D28" t="s">
        <v>78</v>
      </c>
      <c r="E28" s="5">
        <v>8132.93</v>
      </c>
    </row>
    <row r="29" spans="2:7" x14ac:dyDescent="0.35">
      <c r="D29" t="s">
        <v>79</v>
      </c>
      <c r="E29" s="5">
        <v>17705.7</v>
      </c>
    </row>
    <row r="30" spans="2:7" x14ac:dyDescent="0.35">
      <c r="D30" t="s">
        <v>82</v>
      </c>
      <c r="E30" s="5">
        <v>67922.83</v>
      </c>
    </row>
    <row r="31" spans="2:7" x14ac:dyDescent="0.35">
      <c r="E31" s="8">
        <f>SUM(E27:E30)</f>
        <v>177023.06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N45"/>
  <sheetViews>
    <sheetView workbookViewId="0">
      <selection activeCell="B1" sqref="B1:N1048576"/>
    </sheetView>
  </sheetViews>
  <sheetFormatPr defaultRowHeight="14.5" x14ac:dyDescent="0.35"/>
  <cols>
    <col min="2" max="2" width="10.7265625" bestFit="1" customWidth="1"/>
    <col min="5" max="5" width="11.1796875" bestFit="1" customWidth="1"/>
    <col min="6" max="6" width="10.1796875" bestFit="1" customWidth="1"/>
    <col min="7" max="7" width="11.1796875" bestFit="1" customWidth="1"/>
    <col min="9" max="10" width="10.1796875" bestFit="1" customWidth="1"/>
    <col min="12" max="12" width="11.1796875" bestFit="1" customWidth="1"/>
  </cols>
  <sheetData>
    <row r="3" spans="2:14" x14ac:dyDescent="0.35">
      <c r="B3" s="7">
        <v>41739</v>
      </c>
      <c r="C3" s="10" t="s">
        <v>5</v>
      </c>
      <c r="D3" s="10" t="s">
        <v>248</v>
      </c>
      <c r="E3" s="11">
        <v>28850</v>
      </c>
      <c r="G3" s="5" t="s">
        <v>255</v>
      </c>
    </row>
    <row r="4" spans="2:14" x14ac:dyDescent="0.35">
      <c r="C4" s="10" t="s">
        <v>5</v>
      </c>
      <c r="D4" s="10" t="s">
        <v>247</v>
      </c>
      <c r="E4" s="11">
        <v>27850</v>
      </c>
      <c r="G4" s="5" t="s">
        <v>255</v>
      </c>
      <c r="K4" t="s">
        <v>2</v>
      </c>
      <c r="L4" s="5">
        <f>SUM(E8,E15,E26,E35)</f>
        <v>77868.45</v>
      </c>
      <c r="M4" t="e">
        <f>#REF!</f>
        <v>#REF!</v>
      </c>
      <c r="N4" t="e">
        <f>+L4/M4</f>
        <v>#REF!</v>
      </c>
    </row>
    <row r="5" spans="2:14" x14ac:dyDescent="0.35">
      <c r="E5" s="8">
        <f>SUM(E3:E4)</f>
        <v>56700</v>
      </c>
      <c r="G5" s="5"/>
      <c r="K5" t="s">
        <v>251</v>
      </c>
      <c r="L5" s="5">
        <f>SUM(E9,E16,E24,E36,)</f>
        <v>44713.020000000004</v>
      </c>
      <c r="M5" t="e">
        <f>#REF!</f>
        <v>#REF!</v>
      </c>
      <c r="N5" t="e">
        <f>+L5/M5</f>
        <v>#REF!</v>
      </c>
    </row>
    <row r="6" spans="2:14" x14ac:dyDescent="0.35">
      <c r="E6" s="5"/>
      <c r="I6" s="5"/>
      <c r="L6" s="5">
        <f>SUM(L4:L5)</f>
        <v>122581.47</v>
      </c>
    </row>
    <row r="7" spans="2:14" x14ac:dyDescent="0.35">
      <c r="B7" s="7">
        <v>41764</v>
      </c>
      <c r="C7" s="10" t="s">
        <v>5</v>
      </c>
      <c r="D7" s="10" t="s">
        <v>247</v>
      </c>
      <c r="E7" s="11">
        <v>19450</v>
      </c>
      <c r="F7" s="5"/>
      <c r="G7" t="s">
        <v>256</v>
      </c>
    </row>
    <row r="8" spans="2:14" x14ac:dyDescent="0.35">
      <c r="C8" s="10" t="s">
        <v>2</v>
      </c>
      <c r="D8" s="10" t="s">
        <v>247</v>
      </c>
      <c r="E8" s="11">
        <v>41450</v>
      </c>
      <c r="G8" t="s">
        <v>256</v>
      </c>
      <c r="L8" s="5"/>
    </row>
    <row r="9" spans="2:14" x14ac:dyDescent="0.35">
      <c r="C9" s="10" t="s">
        <v>251</v>
      </c>
      <c r="D9" s="10" t="s">
        <v>247</v>
      </c>
      <c r="E9" s="11">
        <v>2750</v>
      </c>
      <c r="G9" t="s">
        <v>256</v>
      </c>
    </row>
    <row r="10" spans="2:14" x14ac:dyDescent="0.35">
      <c r="C10" s="10" t="s">
        <v>5</v>
      </c>
      <c r="D10" s="10" t="s">
        <v>247</v>
      </c>
      <c r="E10" s="11">
        <v>7850</v>
      </c>
      <c r="G10" t="s">
        <v>256</v>
      </c>
      <c r="I10" s="5"/>
    </row>
    <row r="11" spans="2:14" x14ac:dyDescent="0.35">
      <c r="C11" s="10"/>
      <c r="D11" s="10"/>
      <c r="E11" s="12">
        <f>SUM(E7:E10)</f>
        <v>71500</v>
      </c>
    </row>
    <row r="12" spans="2:14" x14ac:dyDescent="0.35">
      <c r="I12" s="5"/>
    </row>
    <row r="13" spans="2:14" x14ac:dyDescent="0.35">
      <c r="B13" s="7">
        <v>41792</v>
      </c>
      <c r="C13" t="s">
        <v>10</v>
      </c>
      <c r="D13" t="s">
        <v>202</v>
      </c>
      <c r="E13" s="5">
        <v>86850</v>
      </c>
      <c r="G13" t="s">
        <v>257</v>
      </c>
      <c r="I13">
        <f>+E13/0.75</f>
        <v>115800</v>
      </c>
    </row>
    <row r="14" spans="2:14" x14ac:dyDescent="0.35">
      <c r="I14" s="5">
        <f>+I13-E13</f>
        <v>28950</v>
      </c>
    </row>
    <row r="15" spans="2:14" x14ac:dyDescent="0.35">
      <c r="B15" s="7">
        <v>41820</v>
      </c>
      <c r="C15" t="s">
        <v>2</v>
      </c>
      <c r="D15" t="s">
        <v>201</v>
      </c>
      <c r="E15" s="5">
        <v>7600</v>
      </c>
      <c r="G15" t="s">
        <v>258</v>
      </c>
      <c r="I15">
        <v>37679.93</v>
      </c>
      <c r="J15" s="5"/>
    </row>
    <row r="16" spans="2:14" x14ac:dyDescent="0.35">
      <c r="C16" t="s">
        <v>251</v>
      </c>
      <c r="D16" t="s">
        <v>201</v>
      </c>
      <c r="E16" s="5">
        <v>27800</v>
      </c>
      <c r="G16" t="s">
        <v>258</v>
      </c>
      <c r="I16" s="5">
        <f>+I15-I14</f>
        <v>8729.93</v>
      </c>
      <c r="J16" s="5"/>
    </row>
    <row r="17" spans="2:12" x14ac:dyDescent="0.35">
      <c r="E17" s="8">
        <f>SUM(E15:E16)</f>
        <v>35400</v>
      </c>
      <c r="J17" s="5"/>
      <c r="L17" s="5"/>
    </row>
    <row r="19" spans="2:12" x14ac:dyDescent="0.35">
      <c r="B19" s="7">
        <v>41842</v>
      </c>
      <c r="C19" s="10" t="s">
        <v>5</v>
      </c>
      <c r="D19" s="10" t="s">
        <v>248</v>
      </c>
      <c r="E19" s="11">
        <v>19085.54</v>
      </c>
      <c r="G19" t="s">
        <v>259</v>
      </c>
    </row>
    <row r="20" spans="2:12" x14ac:dyDescent="0.35">
      <c r="C20" s="10" t="s">
        <v>5</v>
      </c>
      <c r="D20" s="10" t="s">
        <v>260</v>
      </c>
      <c r="E20" s="11">
        <v>3788.65</v>
      </c>
    </row>
    <row r="21" spans="2:12" x14ac:dyDescent="0.35">
      <c r="C21" s="10" t="s">
        <v>261</v>
      </c>
      <c r="D21" s="10" t="s">
        <v>262</v>
      </c>
      <c r="E21" s="11">
        <v>-312.85000000000002</v>
      </c>
    </row>
    <row r="22" spans="2:12" x14ac:dyDescent="0.35">
      <c r="C22" s="10"/>
      <c r="D22" s="10"/>
      <c r="E22" s="12">
        <f>SUM(E19:E21)</f>
        <v>22561.340000000004</v>
      </c>
    </row>
    <row r="24" spans="2:12" x14ac:dyDescent="0.35">
      <c r="B24" s="7">
        <v>41873</v>
      </c>
      <c r="C24" s="10" t="s">
        <v>251</v>
      </c>
      <c r="D24" s="10" t="s">
        <v>247</v>
      </c>
      <c r="E24" s="11">
        <v>1163.48</v>
      </c>
    </row>
    <row r="25" spans="2:12" x14ac:dyDescent="0.35">
      <c r="C25" s="10" t="s">
        <v>5</v>
      </c>
      <c r="D25" s="10" t="s">
        <v>247</v>
      </c>
      <c r="E25" s="11">
        <v>5020.01</v>
      </c>
    </row>
    <row r="26" spans="2:12" x14ac:dyDescent="0.35">
      <c r="C26" s="10" t="s">
        <v>2</v>
      </c>
      <c r="D26" s="10" t="s">
        <v>247</v>
      </c>
      <c r="E26" s="11">
        <v>25738.87</v>
      </c>
    </row>
    <row r="27" spans="2:12" x14ac:dyDescent="0.35">
      <c r="C27" s="10" t="s">
        <v>5</v>
      </c>
      <c r="D27" s="10" t="s">
        <v>247</v>
      </c>
      <c r="E27" s="11">
        <v>33769.519999999997</v>
      </c>
    </row>
    <row r="28" spans="2:12" x14ac:dyDescent="0.35">
      <c r="C28" s="10"/>
      <c r="D28" s="10"/>
      <c r="E28" s="12">
        <f>SUM(E24:E27)</f>
        <v>65691.88</v>
      </c>
    </row>
    <row r="30" spans="2:12" x14ac:dyDescent="0.35">
      <c r="B30" s="7">
        <v>41906</v>
      </c>
      <c r="C30" s="10" t="s">
        <v>77</v>
      </c>
      <c r="E30" s="11">
        <v>54816</v>
      </c>
    </row>
    <row r="31" spans="2:12" x14ac:dyDescent="0.35">
      <c r="C31" s="10" t="s">
        <v>78</v>
      </c>
      <c r="E31" s="11">
        <v>13426</v>
      </c>
    </row>
    <row r="32" spans="2:12" x14ac:dyDescent="0.35">
      <c r="C32" s="10" t="s">
        <v>82</v>
      </c>
      <c r="E32" s="11">
        <v>39135</v>
      </c>
    </row>
    <row r="33" spans="2:5" x14ac:dyDescent="0.35">
      <c r="E33" s="12">
        <f>SUM(E30:E32)</f>
        <v>107377</v>
      </c>
    </row>
    <row r="35" spans="2:5" x14ac:dyDescent="0.35">
      <c r="B35" s="7">
        <v>41926</v>
      </c>
      <c r="C35" s="10" t="s">
        <v>2</v>
      </c>
      <c r="D35" t="s">
        <v>201</v>
      </c>
      <c r="E35" s="11">
        <v>3079.58</v>
      </c>
    </row>
    <row r="36" spans="2:5" x14ac:dyDescent="0.35">
      <c r="C36" s="10" t="s">
        <v>251</v>
      </c>
      <c r="D36" t="s">
        <v>201</v>
      </c>
      <c r="E36" s="11">
        <v>12999.54</v>
      </c>
    </row>
    <row r="37" spans="2:5" x14ac:dyDescent="0.35">
      <c r="E37" s="8">
        <f>SUM(E35:E36)</f>
        <v>16079.12</v>
      </c>
    </row>
    <row r="39" spans="2:5" x14ac:dyDescent="0.35">
      <c r="B39" s="7">
        <v>41947</v>
      </c>
      <c r="C39" t="s">
        <v>10</v>
      </c>
      <c r="D39" t="s">
        <v>202</v>
      </c>
      <c r="E39" s="5">
        <v>37679.93</v>
      </c>
    </row>
    <row r="40" spans="2:5" x14ac:dyDescent="0.35">
      <c r="E40" s="5"/>
    </row>
    <row r="41" spans="2:5" x14ac:dyDescent="0.35">
      <c r="B41" s="7">
        <v>41997</v>
      </c>
      <c r="C41" t="s">
        <v>77</v>
      </c>
      <c r="E41" s="5">
        <v>65814.570000000007</v>
      </c>
    </row>
    <row r="42" spans="2:5" x14ac:dyDescent="0.35">
      <c r="C42" t="s">
        <v>78</v>
      </c>
      <c r="E42" s="5">
        <v>23210.41</v>
      </c>
    </row>
    <row r="43" spans="2:5" x14ac:dyDescent="0.35">
      <c r="C43" t="s">
        <v>79</v>
      </c>
      <c r="E43" s="5">
        <v>45440.72</v>
      </c>
    </row>
    <row r="44" spans="2:5" x14ac:dyDescent="0.35">
      <c r="C44" t="s">
        <v>82</v>
      </c>
      <c r="E44" s="5">
        <v>51195.81</v>
      </c>
    </row>
    <row r="45" spans="2:5" x14ac:dyDescent="0.35">
      <c r="E45" s="8">
        <f>SUM(E41:E44)</f>
        <v>185661.51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E46"/>
  <sheetViews>
    <sheetView topLeftCell="A25" workbookViewId="0">
      <selection activeCell="E41" sqref="E41"/>
    </sheetView>
  </sheetViews>
  <sheetFormatPr defaultRowHeight="14.5" x14ac:dyDescent="0.35"/>
  <cols>
    <col min="2" max="2" width="10.7265625" bestFit="1" customWidth="1"/>
    <col min="5" max="5" width="11.1796875" bestFit="1" customWidth="1"/>
  </cols>
  <sheetData>
    <row r="3" spans="2:5" x14ac:dyDescent="0.35">
      <c r="B3" s="7">
        <v>41397</v>
      </c>
      <c r="C3" t="s">
        <v>2</v>
      </c>
      <c r="D3" t="s">
        <v>247</v>
      </c>
      <c r="E3" s="5">
        <v>10050</v>
      </c>
    </row>
    <row r="4" spans="2:5" x14ac:dyDescent="0.35">
      <c r="C4" t="s">
        <v>2</v>
      </c>
      <c r="D4" t="s">
        <v>252</v>
      </c>
      <c r="E4" s="5">
        <v>5950</v>
      </c>
    </row>
    <row r="5" spans="2:5" x14ac:dyDescent="0.35">
      <c r="C5" t="s">
        <v>251</v>
      </c>
      <c r="D5" t="s">
        <v>252</v>
      </c>
      <c r="E5" s="5">
        <v>7700</v>
      </c>
    </row>
    <row r="6" spans="2:5" x14ac:dyDescent="0.35">
      <c r="C6" t="s">
        <v>5</v>
      </c>
      <c r="D6" t="s">
        <v>252</v>
      </c>
      <c r="E6" s="5">
        <v>15300</v>
      </c>
    </row>
    <row r="7" spans="2:5" x14ac:dyDescent="0.35">
      <c r="C7" t="s">
        <v>5</v>
      </c>
      <c r="D7" t="s">
        <v>201</v>
      </c>
      <c r="E7" s="5">
        <v>2800</v>
      </c>
    </row>
    <row r="8" spans="2:5" x14ac:dyDescent="0.35">
      <c r="E8" s="8">
        <f>SUM(E3:E7)</f>
        <v>41800</v>
      </c>
    </row>
    <row r="9" spans="2:5" x14ac:dyDescent="0.35">
      <c r="E9" s="5"/>
    </row>
    <row r="10" spans="2:5" x14ac:dyDescent="0.35">
      <c r="B10" s="7">
        <v>41422</v>
      </c>
      <c r="C10" t="s">
        <v>2</v>
      </c>
      <c r="D10" t="s">
        <v>252</v>
      </c>
      <c r="E10" s="5">
        <v>3250</v>
      </c>
    </row>
    <row r="11" spans="2:5" x14ac:dyDescent="0.35">
      <c r="C11" t="s">
        <v>2</v>
      </c>
      <c r="D11" t="s">
        <v>247</v>
      </c>
      <c r="E11" s="5">
        <v>5050</v>
      </c>
    </row>
    <row r="12" spans="2:5" x14ac:dyDescent="0.35">
      <c r="C12" t="s">
        <v>251</v>
      </c>
      <c r="D12" t="s">
        <v>252</v>
      </c>
      <c r="E12" s="5">
        <v>4200</v>
      </c>
    </row>
    <row r="13" spans="2:5" x14ac:dyDescent="0.35">
      <c r="C13" t="s">
        <v>5</v>
      </c>
      <c r="D13" t="s">
        <v>252</v>
      </c>
      <c r="E13" s="5">
        <v>8350</v>
      </c>
    </row>
    <row r="14" spans="2:5" x14ac:dyDescent="0.35">
      <c r="E14" s="8">
        <f>SUM(E10:E13)</f>
        <v>20850</v>
      </c>
    </row>
    <row r="15" spans="2:5" x14ac:dyDescent="0.35">
      <c r="E15" s="5"/>
    </row>
    <row r="16" spans="2:5" x14ac:dyDescent="0.35">
      <c r="B16" s="7">
        <v>41479</v>
      </c>
      <c r="C16" t="s">
        <v>10</v>
      </c>
      <c r="D16" t="s">
        <v>202</v>
      </c>
      <c r="E16" s="5">
        <v>36100</v>
      </c>
    </row>
    <row r="17" spans="2:5" x14ac:dyDescent="0.35">
      <c r="E17" s="8">
        <f>SUM(E16)</f>
        <v>36100</v>
      </c>
    </row>
    <row r="18" spans="2:5" x14ac:dyDescent="0.35">
      <c r="E18" s="5"/>
    </row>
    <row r="19" spans="2:5" x14ac:dyDescent="0.35">
      <c r="B19" s="7">
        <v>41513</v>
      </c>
      <c r="C19" t="s">
        <v>2</v>
      </c>
      <c r="D19" t="s">
        <v>247</v>
      </c>
      <c r="E19" s="5">
        <v>11533.59</v>
      </c>
    </row>
    <row r="20" spans="2:5" x14ac:dyDescent="0.35">
      <c r="E20" s="8">
        <f>SUM(E19)</f>
        <v>11533.59</v>
      </c>
    </row>
    <row r="21" spans="2:5" x14ac:dyDescent="0.35">
      <c r="E21" s="5"/>
    </row>
    <row r="22" spans="2:5" x14ac:dyDescent="0.35">
      <c r="B22" s="7">
        <v>41530</v>
      </c>
      <c r="C22" t="s">
        <v>2</v>
      </c>
      <c r="D22" t="s">
        <v>247</v>
      </c>
      <c r="E22" s="5">
        <v>5283.82</v>
      </c>
    </row>
    <row r="23" spans="2:5" x14ac:dyDescent="0.35">
      <c r="C23" t="s">
        <v>251</v>
      </c>
      <c r="D23" t="s">
        <v>247</v>
      </c>
      <c r="E23" s="5">
        <v>6502.93</v>
      </c>
    </row>
    <row r="24" spans="2:5" x14ac:dyDescent="0.35">
      <c r="C24" t="s">
        <v>5</v>
      </c>
      <c r="D24" t="s">
        <v>247</v>
      </c>
      <c r="E24" s="5">
        <v>18005.099999999999</v>
      </c>
    </row>
    <row r="25" spans="2:5" x14ac:dyDescent="0.35">
      <c r="E25" s="8">
        <f>SUM(E22:E24)</f>
        <v>29791.85</v>
      </c>
    </row>
    <row r="26" spans="2:5" x14ac:dyDescent="0.35">
      <c r="E26" s="5"/>
    </row>
    <row r="27" spans="2:5" x14ac:dyDescent="0.35">
      <c r="B27" s="7">
        <v>41536</v>
      </c>
      <c r="C27" t="s">
        <v>5</v>
      </c>
      <c r="D27" t="s">
        <v>201</v>
      </c>
      <c r="E27" s="5">
        <v>4331.1499999999996</v>
      </c>
    </row>
    <row r="28" spans="2:5" x14ac:dyDescent="0.35">
      <c r="E28" s="8">
        <f>SUM(E27)</f>
        <v>4331.1499999999996</v>
      </c>
    </row>
    <row r="29" spans="2:5" x14ac:dyDescent="0.35">
      <c r="E29" s="5"/>
    </row>
    <row r="30" spans="2:5" x14ac:dyDescent="0.35">
      <c r="B30" s="7">
        <v>41561</v>
      </c>
      <c r="C30" t="s">
        <v>10</v>
      </c>
      <c r="D30" t="s">
        <v>202</v>
      </c>
      <c r="E30" s="5">
        <v>39615.480000000003</v>
      </c>
    </row>
    <row r="31" spans="2:5" x14ac:dyDescent="0.35">
      <c r="E31" s="8">
        <f>SUM(E30)</f>
        <v>39615.480000000003</v>
      </c>
    </row>
    <row r="32" spans="2:5" x14ac:dyDescent="0.35">
      <c r="E32" s="5"/>
    </row>
    <row r="33" spans="2:5" x14ac:dyDescent="0.35">
      <c r="B33" s="7">
        <v>41639</v>
      </c>
      <c r="C33" t="s">
        <v>77</v>
      </c>
      <c r="E33" s="5">
        <v>31283.85</v>
      </c>
    </row>
    <row r="34" spans="2:5" x14ac:dyDescent="0.35">
      <c r="C34" t="s">
        <v>78</v>
      </c>
      <c r="E34" s="5">
        <v>11433.99</v>
      </c>
    </row>
    <row r="35" spans="2:5" x14ac:dyDescent="0.35">
      <c r="C35" t="s">
        <v>79</v>
      </c>
      <c r="E35" s="5">
        <v>15569.42</v>
      </c>
    </row>
    <row r="36" spans="2:5" x14ac:dyDescent="0.35">
      <c r="C36" t="s">
        <v>82</v>
      </c>
      <c r="E36" s="5">
        <v>58265.93</v>
      </c>
    </row>
    <row r="37" spans="2:5" x14ac:dyDescent="0.35">
      <c r="E37" s="8">
        <f>SUM(E33:E36)</f>
        <v>116553.19</v>
      </c>
    </row>
    <row r="39" spans="2:5" x14ac:dyDescent="0.35">
      <c r="B39" s="7">
        <v>41534</v>
      </c>
      <c r="C39" t="s">
        <v>77</v>
      </c>
      <c r="E39" s="5">
        <v>22477</v>
      </c>
    </row>
    <row r="40" spans="2:5" x14ac:dyDescent="0.35">
      <c r="C40" t="s">
        <v>78</v>
      </c>
      <c r="E40" s="5">
        <v>8221</v>
      </c>
    </row>
    <row r="41" spans="2:5" x14ac:dyDescent="0.35">
      <c r="C41" t="s">
        <v>79</v>
      </c>
      <c r="E41" s="5">
        <v>10836</v>
      </c>
    </row>
    <row r="42" spans="2:5" x14ac:dyDescent="0.35">
      <c r="C42" t="s">
        <v>82</v>
      </c>
      <c r="E42" s="5">
        <v>41065</v>
      </c>
    </row>
    <row r="43" spans="2:5" x14ac:dyDescent="0.35">
      <c r="C43" t="s">
        <v>263</v>
      </c>
      <c r="E43" s="5">
        <v>383.67</v>
      </c>
    </row>
    <row r="44" spans="2:5" x14ac:dyDescent="0.35">
      <c r="E44" s="8">
        <f>SUM(E39:E43)</f>
        <v>82982.67</v>
      </c>
    </row>
    <row r="46" spans="2:5" x14ac:dyDescent="0.35">
      <c r="C46" t="s">
        <v>40</v>
      </c>
      <c r="E46" s="5">
        <v>48069.599999999999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Revenue</vt:lpstr>
      <vt:lpstr>Conversion</vt:lpstr>
      <vt:lpstr>2026 Checks</vt:lpstr>
      <vt:lpstr>2025 Checks</vt:lpstr>
      <vt:lpstr>2024 Checks</vt:lpstr>
      <vt:lpstr>2023 Checks</vt:lpstr>
      <vt:lpstr>2022 - Checks</vt:lpstr>
      <vt:lpstr>2021 - Checks</vt:lpstr>
      <vt:lpstr>2020 - Checks</vt:lpstr>
      <vt:lpstr>2019 - Checks</vt:lpstr>
      <vt:lpstr>2018 - Checks</vt:lpstr>
      <vt:lpstr>2017 - Checks</vt:lpstr>
      <vt:lpstr>2016 - Checks</vt:lpstr>
      <vt:lpstr>2015 - Checks</vt:lpstr>
      <vt:lpstr>2014 - Checks</vt:lpstr>
      <vt:lpstr>2013 - Checks</vt:lpstr>
      <vt:lpstr>Revenue!Print_Area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slater</dc:creator>
  <cp:keywords/>
  <dc:description/>
  <cp:lastModifiedBy>Meagan Slater</cp:lastModifiedBy>
  <cp:revision/>
  <cp:lastPrinted>2026-02-10T18:46:54Z</cp:lastPrinted>
  <dcterms:created xsi:type="dcterms:W3CDTF">2012-09-17T17:36:53Z</dcterms:created>
  <dcterms:modified xsi:type="dcterms:W3CDTF">2026-08-26T16:03:18Z</dcterms:modified>
  <cp:category/>
  <cp:contentStatus/>
</cp:coreProperties>
</file>