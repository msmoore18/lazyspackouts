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16de20957c44a9/Documents/Work/Lazy S Ranch/Packouts/"/>
    </mc:Choice>
  </mc:AlternateContent>
  <xr:revisionPtr revIDLastSave="619" documentId="8_{1011993B-9BE5-47FB-8CF9-75DCC33DBF8C}" xr6:coauthVersionLast="47" xr6:coauthVersionMax="47" xr10:uidLastSave="{2AED16A2-973A-4DB3-A304-184DBF2637A7}"/>
  <bookViews>
    <workbookView xWindow="-90" yWindow="0" windowWidth="11700" windowHeight="14730" xr2:uid="{81C70694-F605-46AA-98BE-8E81F8696242}"/>
  </bookViews>
  <sheets>
    <sheet name="Harvest Reports" sheetId="1" r:id="rId1"/>
    <sheet name="Packouts" sheetId="2" r:id="rId2"/>
    <sheet name="Pool State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F105" i="1"/>
  <c r="F104" i="1"/>
  <c r="F103" i="1"/>
  <c r="F102" i="1"/>
  <c r="F101" i="1"/>
  <c r="F100" i="1"/>
  <c r="F99" i="1"/>
  <c r="M36" i="2"/>
  <c r="D36" i="2"/>
  <c r="F98" i="1"/>
  <c r="F97" i="1"/>
  <c r="F96" i="1"/>
  <c r="F95" i="1"/>
  <c r="F94" i="1"/>
  <c r="F93" i="1"/>
  <c r="F92" i="1"/>
  <c r="F91" i="1"/>
  <c r="F90" i="1"/>
  <c r="F89" i="1"/>
  <c r="F88" i="1"/>
  <c r="F87" i="1"/>
  <c r="E35" i="2"/>
  <c r="E34" i="2"/>
  <c r="E33" i="2"/>
  <c r="E32" i="2"/>
  <c r="E31" i="2"/>
  <c r="E30" i="2"/>
  <c r="E29" i="2"/>
  <c r="E28" i="2"/>
  <c r="F83" i="1"/>
  <c r="F84" i="1"/>
  <c r="F85" i="1"/>
  <c r="F86" i="1"/>
  <c r="F82" i="1"/>
  <c r="F81" i="1"/>
  <c r="D27" i="2"/>
  <c r="O27" i="2"/>
  <c r="M27" i="2"/>
  <c r="K27" i="2"/>
  <c r="I27" i="2"/>
  <c r="G27" i="2"/>
  <c r="O26" i="2"/>
  <c r="M26" i="2"/>
  <c r="K26" i="2"/>
  <c r="I26" i="2"/>
  <c r="G26" i="2"/>
  <c r="D26" i="2"/>
  <c r="O25" i="2"/>
  <c r="M25" i="2"/>
  <c r="D25" i="2"/>
</calcChain>
</file>

<file path=xl/sharedStrings.xml><?xml version="1.0" encoding="utf-8"?>
<sst xmlns="http://schemas.openxmlformats.org/spreadsheetml/2006/main" count="273" uniqueCount="46">
  <si>
    <t>Date</t>
  </si>
  <si>
    <t>Block ID</t>
  </si>
  <si>
    <t>Bins</t>
  </si>
  <si>
    <t>NAVEL</t>
  </si>
  <si>
    <t>Block</t>
  </si>
  <si>
    <t>Variety</t>
  </si>
  <si>
    <t>LEMONS</t>
  </si>
  <si>
    <t>CLEMENTINES</t>
  </si>
  <si>
    <t>Fruit Packed On</t>
  </si>
  <si>
    <t>Field Box (Processed This Date)</t>
  </si>
  <si>
    <t>Total Fancy</t>
  </si>
  <si>
    <t>Total Fancy PkOut%</t>
  </si>
  <si>
    <t>Total Choice</t>
  </si>
  <si>
    <t>Total Choice PkOut%</t>
  </si>
  <si>
    <t>Total Other</t>
  </si>
  <si>
    <t>Total Other PkOut%</t>
  </si>
  <si>
    <t>Total Waste</t>
  </si>
  <si>
    <t>Total Waste PkOut%</t>
  </si>
  <si>
    <t>Total Juice</t>
  </si>
  <si>
    <t>Total Juice PkOut%</t>
  </si>
  <si>
    <t>16L</t>
  </si>
  <si>
    <t>Ticket</t>
  </si>
  <si>
    <t>FB</t>
  </si>
  <si>
    <t>Total Bins</t>
  </si>
  <si>
    <t>CARA-CARA</t>
  </si>
  <si>
    <t>2B</t>
  </si>
  <si>
    <t>MURCOTTS</t>
  </si>
  <si>
    <t>2A</t>
  </si>
  <si>
    <t>19C</t>
  </si>
  <si>
    <t>13W</t>
  </si>
  <si>
    <t>18W</t>
  </si>
  <si>
    <t>1</t>
  </si>
  <si>
    <t>11</t>
  </si>
  <si>
    <t>12</t>
  </si>
  <si>
    <t>15</t>
  </si>
  <si>
    <t>GRAPEFRUIT</t>
  </si>
  <si>
    <t>3</t>
  </si>
  <si>
    <t>14W</t>
  </si>
  <si>
    <t>9</t>
  </si>
  <si>
    <t>17</t>
  </si>
  <si>
    <t>Bin</t>
  </si>
  <si>
    <t>Fancy CTN</t>
  </si>
  <si>
    <t>Waste CTN</t>
  </si>
  <si>
    <t>Juice CTN</t>
  </si>
  <si>
    <t>Total Charges</t>
  </si>
  <si>
    <t>Net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</si>
</sst>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ED67-FB9A-4561-AD9B-48751349C327}">
  <dimension ref="A1:K106"/>
  <sheetViews>
    <sheetView tabSelected="1" topLeftCell="A89" zoomScale="130" zoomScaleNormal="130" workbookViewId="0">
      <selection activeCell="E107" sqref="E107"/>
    </sheetView>
  </sheetViews>
  <sheetFormatPr defaultRowHeight="14.5" x14ac:dyDescent="0.35"/>
  <cols>
    <col min="1" max="1" width="13.90625" style="6" customWidth="1"/>
    <col min="2" max="2" width="9.81640625" style="9" bestFit="1" customWidth="1"/>
    <col min="3" max="3" width="8.08984375" style="11" bestFit="1" customWidth="1"/>
    <col min="4" max="4" width="12.36328125" style="2" bestFit="1" customWidth="1"/>
    <col min="5" max="5" width="4.81640625" style="9" bestFit="1" customWidth="1"/>
    <col min="6" max="6" width="5" style="9" bestFit="1" customWidth="1"/>
  </cols>
  <sheetData>
    <row r="1" spans="1:11" s="1" customFormat="1" x14ac:dyDescent="0.35">
      <c r="A1" s="7" t="s">
        <v>0</v>
      </c>
      <c r="B1" s="8" t="s">
        <v>21</v>
      </c>
      <c r="C1" s="10" t="s">
        <v>4</v>
      </c>
      <c r="D1" s="3" t="s">
        <v>5</v>
      </c>
      <c r="E1" s="8" t="s">
        <v>2</v>
      </c>
      <c r="F1" s="8" t="s">
        <v>22</v>
      </c>
    </row>
    <row r="2" spans="1:11" x14ac:dyDescent="0.35">
      <c r="A2" s="6">
        <v>46034</v>
      </c>
      <c r="B2" s="9">
        <v>383289</v>
      </c>
      <c r="C2" s="11">
        <v>1</v>
      </c>
      <c r="D2" s="2" t="s">
        <v>7</v>
      </c>
      <c r="E2" s="9">
        <v>48</v>
      </c>
      <c r="F2" s="9">
        <v>768</v>
      </c>
      <c r="K2" s="2"/>
    </row>
    <row r="3" spans="1:11" x14ac:dyDescent="0.35">
      <c r="A3" s="6">
        <v>46034</v>
      </c>
      <c r="B3" s="9">
        <v>383301</v>
      </c>
      <c r="C3" s="11">
        <v>1</v>
      </c>
      <c r="D3" s="2" t="s">
        <v>7</v>
      </c>
      <c r="E3" s="9">
        <v>48</v>
      </c>
      <c r="F3" s="9">
        <v>768</v>
      </c>
      <c r="K3" s="2"/>
    </row>
    <row r="4" spans="1:11" x14ac:dyDescent="0.35">
      <c r="A4" s="6">
        <v>46035</v>
      </c>
      <c r="B4" s="9">
        <v>383370</v>
      </c>
      <c r="C4" s="11">
        <v>1</v>
      </c>
      <c r="D4" s="2" t="s">
        <v>7</v>
      </c>
      <c r="E4" s="9">
        <v>48</v>
      </c>
      <c r="F4" s="9">
        <v>768</v>
      </c>
      <c r="K4" s="2"/>
    </row>
    <row r="5" spans="1:11" x14ac:dyDescent="0.35">
      <c r="A5" s="6">
        <v>46035</v>
      </c>
      <c r="B5" s="9">
        <v>383406</v>
      </c>
      <c r="C5" s="11">
        <v>1</v>
      </c>
      <c r="D5" s="2" t="s">
        <v>7</v>
      </c>
      <c r="E5" s="9">
        <v>48</v>
      </c>
      <c r="F5" s="9">
        <v>768</v>
      </c>
      <c r="K5" s="2"/>
    </row>
    <row r="6" spans="1:11" x14ac:dyDescent="0.35">
      <c r="A6" s="6">
        <v>46039</v>
      </c>
      <c r="B6" s="9">
        <v>300244</v>
      </c>
      <c r="C6" s="11">
        <v>12</v>
      </c>
      <c r="D6" s="2" t="s">
        <v>6</v>
      </c>
      <c r="E6" s="9">
        <v>24</v>
      </c>
      <c r="F6" s="9">
        <v>384</v>
      </c>
      <c r="K6" s="2"/>
    </row>
    <row r="7" spans="1:11" x14ac:dyDescent="0.35">
      <c r="A7" s="6">
        <v>46038</v>
      </c>
      <c r="B7" s="9">
        <v>300208</v>
      </c>
      <c r="C7" s="11" t="s">
        <v>20</v>
      </c>
      <c r="D7" s="2" t="s">
        <v>6</v>
      </c>
      <c r="E7" s="9">
        <v>50</v>
      </c>
      <c r="F7" s="9">
        <v>800</v>
      </c>
      <c r="K7" s="2"/>
    </row>
    <row r="8" spans="1:11" x14ac:dyDescent="0.35">
      <c r="A8" s="6">
        <v>46038</v>
      </c>
      <c r="B8" s="9">
        <v>300231</v>
      </c>
      <c r="C8" s="11" t="s">
        <v>20</v>
      </c>
      <c r="D8" s="2" t="s">
        <v>6</v>
      </c>
      <c r="E8" s="9">
        <v>42</v>
      </c>
      <c r="F8" s="9">
        <v>672</v>
      </c>
      <c r="K8" s="2"/>
    </row>
    <row r="9" spans="1:11" x14ac:dyDescent="0.35">
      <c r="A9" s="6">
        <v>46036</v>
      </c>
      <c r="B9" s="9">
        <v>300035</v>
      </c>
      <c r="C9" s="11">
        <v>1</v>
      </c>
      <c r="D9" s="2" t="s">
        <v>7</v>
      </c>
      <c r="E9" s="9">
        <v>21</v>
      </c>
      <c r="F9" s="9">
        <v>336</v>
      </c>
      <c r="K9" s="2"/>
    </row>
    <row r="10" spans="1:11" x14ac:dyDescent="0.35">
      <c r="A10" s="6">
        <v>46036</v>
      </c>
      <c r="B10" s="9">
        <v>300007</v>
      </c>
      <c r="C10" s="11" t="s">
        <v>25</v>
      </c>
      <c r="D10" s="2" t="s">
        <v>7</v>
      </c>
      <c r="E10" s="9">
        <v>48</v>
      </c>
      <c r="F10" s="9">
        <v>768</v>
      </c>
      <c r="K10" s="2"/>
    </row>
    <row r="11" spans="1:11" x14ac:dyDescent="0.35">
      <c r="A11" s="6">
        <v>46036</v>
      </c>
      <c r="B11" s="9">
        <v>300034</v>
      </c>
      <c r="C11" s="11" t="s">
        <v>25</v>
      </c>
      <c r="D11" s="2" t="s">
        <v>7</v>
      </c>
      <c r="E11" s="9">
        <v>27</v>
      </c>
      <c r="F11" s="9">
        <v>432</v>
      </c>
      <c r="K11" s="2"/>
    </row>
    <row r="12" spans="1:11" x14ac:dyDescent="0.35">
      <c r="A12" s="6">
        <v>46037</v>
      </c>
      <c r="B12" s="9">
        <v>300119</v>
      </c>
      <c r="C12" s="11" t="s">
        <v>25</v>
      </c>
      <c r="D12" s="2" t="s">
        <v>7</v>
      </c>
      <c r="E12" s="9">
        <v>48</v>
      </c>
      <c r="F12" s="9">
        <v>768</v>
      </c>
      <c r="K12" s="2"/>
    </row>
    <row r="13" spans="1:11" x14ac:dyDescent="0.35">
      <c r="A13" s="6">
        <v>46037</v>
      </c>
      <c r="B13" s="9">
        <v>300138</v>
      </c>
      <c r="C13" s="11" t="s">
        <v>25</v>
      </c>
      <c r="D13" s="2" t="s">
        <v>7</v>
      </c>
      <c r="E13" s="9">
        <v>26.5</v>
      </c>
      <c r="F13" s="9">
        <v>424</v>
      </c>
      <c r="K13" s="2"/>
    </row>
    <row r="14" spans="1:11" x14ac:dyDescent="0.35">
      <c r="A14" s="6">
        <v>46048</v>
      </c>
      <c r="B14" s="9">
        <v>293381</v>
      </c>
      <c r="C14" s="11" t="s">
        <v>28</v>
      </c>
      <c r="D14" s="2" t="s">
        <v>24</v>
      </c>
      <c r="E14" s="9">
        <v>50</v>
      </c>
      <c r="F14" s="9">
        <v>800</v>
      </c>
      <c r="K14" s="2"/>
    </row>
    <row r="15" spans="1:11" x14ac:dyDescent="0.35">
      <c r="A15" s="6">
        <v>46048</v>
      </c>
      <c r="B15" s="9">
        <v>293390</v>
      </c>
      <c r="C15" s="11" t="s">
        <v>28</v>
      </c>
      <c r="D15" s="2" t="s">
        <v>24</v>
      </c>
      <c r="E15" s="9">
        <v>40</v>
      </c>
      <c r="F15" s="9">
        <v>640</v>
      </c>
      <c r="K15" s="2"/>
    </row>
    <row r="16" spans="1:11" x14ac:dyDescent="0.35">
      <c r="A16" s="6">
        <v>46045</v>
      </c>
      <c r="B16" s="9">
        <v>300705</v>
      </c>
      <c r="C16" s="11">
        <v>11</v>
      </c>
      <c r="D16" s="2" t="s">
        <v>26</v>
      </c>
      <c r="E16" s="9">
        <v>48</v>
      </c>
      <c r="F16" s="9">
        <v>768</v>
      </c>
      <c r="K16" s="2"/>
    </row>
    <row r="17" spans="1:11" x14ac:dyDescent="0.35">
      <c r="A17" s="6">
        <v>46045</v>
      </c>
      <c r="B17" s="9">
        <v>300734</v>
      </c>
      <c r="C17" s="11">
        <v>11</v>
      </c>
      <c r="D17" s="2" t="s">
        <v>26</v>
      </c>
      <c r="E17" s="9">
        <v>27</v>
      </c>
      <c r="F17" s="9">
        <v>432</v>
      </c>
      <c r="K17" s="2"/>
    </row>
    <row r="18" spans="1:11" x14ac:dyDescent="0.35">
      <c r="A18" s="6">
        <v>46048</v>
      </c>
      <c r="B18" s="9">
        <v>300738</v>
      </c>
      <c r="C18" s="11">
        <v>11</v>
      </c>
      <c r="D18" s="2" t="s">
        <v>26</v>
      </c>
      <c r="E18" s="9">
        <v>50</v>
      </c>
      <c r="F18" s="9">
        <v>800</v>
      </c>
      <c r="K18" s="2"/>
    </row>
    <row r="19" spans="1:11" x14ac:dyDescent="0.35">
      <c r="A19" s="6">
        <v>46048</v>
      </c>
      <c r="B19" s="9">
        <v>300819</v>
      </c>
      <c r="C19" s="11">
        <v>11</v>
      </c>
      <c r="D19" s="2" t="s">
        <v>26</v>
      </c>
      <c r="E19" s="9">
        <v>48</v>
      </c>
      <c r="F19" s="9">
        <v>768</v>
      </c>
      <c r="K19" s="2"/>
    </row>
    <row r="20" spans="1:11" x14ac:dyDescent="0.35">
      <c r="A20" s="6">
        <v>46048</v>
      </c>
      <c r="B20" s="9">
        <v>300836</v>
      </c>
      <c r="C20" s="11">
        <v>11</v>
      </c>
      <c r="D20" s="2" t="s">
        <v>26</v>
      </c>
      <c r="E20" s="9">
        <v>48</v>
      </c>
      <c r="F20" s="9">
        <v>768</v>
      </c>
      <c r="K20" s="2"/>
    </row>
    <row r="21" spans="1:11" x14ac:dyDescent="0.35">
      <c r="A21" s="6">
        <v>46048</v>
      </c>
      <c r="B21" s="9">
        <v>300854</v>
      </c>
      <c r="C21" s="11">
        <v>11</v>
      </c>
      <c r="D21" s="2" t="s">
        <v>26</v>
      </c>
      <c r="E21" s="9">
        <v>48</v>
      </c>
      <c r="F21" s="9">
        <v>768</v>
      </c>
      <c r="K21" s="2"/>
    </row>
    <row r="22" spans="1:11" x14ac:dyDescent="0.35">
      <c r="A22" s="6">
        <v>46053</v>
      </c>
      <c r="B22" s="9">
        <v>741920</v>
      </c>
      <c r="C22" s="11" t="s">
        <v>29</v>
      </c>
      <c r="D22" s="2" t="s">
        <v>3</v>
      </c>
      <c r="E22" s="9">
        <v>50</v>
      </c>
      <c r="F22" s="9">
        <v>800</v>
      </c>
      <c r="K22" s="2"/>
    </row>
    <row r="23" spans="1:11" x14ac:dyDescent="0.35">
      <c r="A23" s="6">
        <v>46053</v>
      </c>
      <c r="B23" s="9">
        <v>741921</v>
      </c>
      <c r="C23" s="11" t="s">
        <v>29</v>
      </c>
      <c r="D23" s="2" t="s">
        <v>3</v>
      </c>
      <c r="E23" s="9">
        <v>21</v>
      </c>
      <c r="F23" s="9">
        <v>336</v>
      </c>
      <c r="K23" s="2"/>
    </row>
    <row r="24" spans="1:11" x14ac:dyDescent="0.35">
      <c r="A24" s="6">
        <v>46053</v>
      </c>
      <c r="B24" s="9">
        <v>741927</v>
      </c>
      <c r="C24" s="11" t="s">
        <v>29</v>
      </c>
      <c r="D24" s="2" t="s">
        <v>3</v>
      </c>
      <c r="E24" s="9">
        <v>46</v>
      </c>
      <c r="F24" s="9">
        <v>736</v>
      </c>
      <c r="K24" s="2"/>
    </row>
    <row r="25" spans="1:11" x14ac:dyDescent="0.35">
      <c r="A25" s="6">
        <v>46053</v>
      </c>
      <c r="B25" s="9">
        <v>741928</v>
      </c>
      <c r="C25" s="11" t="s">
        <v>29</v>
      </c>
      <c r="D25" s="2" t="s">
        <v>3</v>
      </c>
      <c r="E25" s="9">
        <v>4</v>
      </c>
      <c r="F25" s="9">
        <v>64</v>
      </c>
      <c r="K25" s="2"/>
    </row>
    <row r="26" spans="1:11" x14ac:dyDescent="0.35">
      <c r="A26" s="6">
        <v>46053</v>
      </c>
      <c r="B26" s="9">
        <v>741930</v>
      </c>
      <c r="C26" s="11" t="s">
        <v>29</v>
      </c>
      <c r="D26" s="2" t="s">
        <v>3</v>
      </c>
      <c r="E26" s="9">
        <v>38</v>
      </c>
      <c r="F26" s="9">
        <v>608</v>
      </c>
      <c r="K26" s="2"/>
    </row>
    <row r="27" spans="1:11" x14ac:dyDescent="0.35">
      <c r="A27" s="6">
        <v>46053</v>
      </c>
      <c r="B27" s="9">
        <v>741898</v>
      </c>
      <c r="C27" s="11" t="s">
        <v>30</v>
      </c>
      <c r="D27" s="2" t="s">
        <v>3</v>
      </c>
      <c r="E27" s="9">
        <v>26</v>
      </c>
      <c r="F27" s="9">
        <v>416</v>
      </c>
      <c r="K27" s="2"/>
    </row>
    <row r="28" spans="1:11" x14ac:dyDescent="0.35">
      <c r="A28" s="6">
        <v>46053</v>
      </c>
      <c r="B28" s="9">
        <v>741899</v>
      </c>
      <c r="C28" s="11" t="s">
        <v>30</v>
      </c>
      <c r="D28" s="2" t="s">
        <v>3</v>
      </c>
      <c r="E28" s="9">
        <v>24</v>
      </c>
      <c r="F28" s="9">
        <v>384</v>
      </c>
      <c r="K28" s="2"/>
    </row>
    <row r="29" spans="1:11" x14ac:dyDescent="0.35">
      <c r="A29" s="6">
        <v>46053</v>
      </c>
      <c r="B29" s="9">
        <v>741900</v>
      </c>
      <c r="C29" s="11" t="s">
        <v>30</v>
      </c>
      <c r="D29" s="2" t="s">
        <v>3</v>
      </c>
      <c r="E29" s="9">
        <v>50</v>
      </c>
      <c r="F29" s="9">
        <v>800</v>
      </c>
      <c r="K29" s="2"/>
    </row>
    <row r="30" spans="1:11" x14ac:dyDescent="0.35">
      <c r="A30" s="6">
        <v>46053</v>
      </c>
      <c r="B30" s="9">
        <v>741911</v>
      </c>
      <c r="C30" s="11" t="s">
        <v>30</v>
      </c>
      <c r="D30" s="2" t="s">
        <v>3</v>
      </c>
      <c r="E30" s="9">
        <v>50</v>
      </c>
      <c r="F30" s="9">
        <v>800</v>
      </c>
      <c r="K30" s="2"/>
    </row>
    <row r="31" spans="1:11" x14ac:dyDescent="0.35">
      <c r="A31" s="6">
        <v>46053</v>
      </c>
      <c r="B31" s="9">
        <v>741916</v>
      </c>
      <c r="C31" s="11" t="s">
        <v>30</v>
      </c>
      <c r="D31" s="2" t="s">
        <v>3</v>
      </c>
      <c r="E31" s="9">
        <v>50</v>
      </c>
      <c r="F31" s="9">
        <v>800</v>
      </c>
      <c r="K31" s="2"/>
    </row>
    <row r="32" spans="1:11" x14ac:dyDescent="0.35">
      <c r="A32" s="6">
        <v>46053</v>
      </c>
      <c r="B32" s="9">
        <v>741922</v>
      </c>
      <c r="C32" s="11" t="s">
        <v>30</v>
      </c>
      <c r="D32" s="2" t="s">
        <v>3</v>
      </c>
      <c r="E32" s="9">
        <v>29</v>
      </c>
      <c r="F32" s="9">
        <v>464</v>
      </c>
      <c r="K32" s="2"/>
    </row>
    <row r="33" spans="1:11" x14ac:dyDescent="0.35">
      <c r="A33" s="6">
        <v>46053</v>
      </c>
      <c r="B33" s="9">
        <v>741931</v>
      </c>
      <c r="C33" s="11" t="s">
        <v>30</v>
      </c>
      <c r="D33" s="2" t="s">
        <v>3</v>
      </c>
      <c r="E33" s="9">
        <v>11</v>
      </c>
      <c r="F33" s="9">
        <v>176</v>
      </c>
      <c r="K33" s="2"/>
    </row>
    <row r="34" spans="1:11" x14ac:dyDescent="0.35">
      <c r="A34" s="6">
        <v>46049</v>
      </c>
      <c r="B34" s="9">
        <v>300891</v>
      </c>
      <c r="C34" s="11">
        <v>11</v>
      </c>
      <c r="D34" s="2" t="s">
        <v>26</v>
      </c>
      <c r="E34" s="9">
        <v>48</v>
      </c>
      <c r="F34" s="9">
        <v>768</v>
      </c>
      <c r="K34" s="2"/>
    </row>
    <row r="35" spans="1:11" x14ac:dyDescent="0.35">
      <c r="A35" s="6">
        <v>46049</v>
      </c>
      <c r="B35" s="9">
        <v>300911</v>
      </c>
      <c r="C35" s="11">
        <v>11</v>
      </c>
      <c r="D35" s="2" t="s">
        <v>26</v>
      </c>
      <c r="E35" s="9">
        <v>48</v>
      </c>
      <c r="F35" s="9">
        <v>768</v>
      </c>
      <c r="K35" s="2"/>
    </row>
    <row r="36" spans="1:11" x14ac:dyDescent="0.35">
      <c r="A36" s="6">
        <v>46049</v>
      </c>
      <c r="B36" s="9">
        <v>300943</v>
      </c>
      <c r="C36" s="11">
        <v>11</v>
      </c>
      <c r="D36" s="2" t="s">
        <v>26</v>
      </c>
      <c r="E36" s="9">
        <v>47</v>
      </c>
      <c r="F36" s="9">
        <v>752</v>
      </c>
      <c r="K36" s="2"/>
    </row>
    <row r="37" spans="1:11" x14ac:dyDescent="0.35">
      <c r="A37" s="6">
        <v>46049</v>
      </c>
      <c r="B37" s="9">
        <v>300946</v>
      </c>
      <c r="C37" s="11">
        <v>11</v>
      </c>
      <c r="D37" s="2" t="s">
        <v>26</v>
      </c>
      <c r="E37" s="9">
        <v>48</v>
      </c>
      <c r="F37" s="9">
        <v>768</v>
      </c>
      <c r="K37" s="2"/>
    </row>
    <row r="38" spans="1:11" x14ac:dyDescent="0.35">
      <c r="A38" s="6">
        <v>46050</v>
      </c>
      <c r="B38" s="9">
        <v>301038</v>
      </c>
      <c r="C38" s="11">
        <v>11</v>
      </c>
      <c r="D38" s="2" t="s">
        <v>26</v>
      </c>
      <c r="E38" s="9">
        <v>30</v>
      </c>
      <c r="F38" s="9">
        <v>480</v>
      </c>
      <c r="K38" s="2"/>
    </row>
    <row r="39" spans="1:11" x14ac:dyDescent="0.35">
      <c r="A39" s="6">
        <v>46050</v>
      </c>
      <c r="B39" s="9">
        <v>300969</v>
      </c>
      <c r="C39" s="11" t="s">
        <v>27</v>
      </c>
      <c r="D39" s="2" t="s">
        <v>26</v>
      </c>
      <c r="E39" s="9">
        <v>48</v>
      </c>
      <c r="F39" s="9">
        <v>768</v>
      </c>
      <c r="K39" s="2"/>
    </row>
    <row r="40" spans="1:11" x14ac:dyDescent="0.35">
      <c r="A40" s="6">
        <v>46050</v>
      </c>
      <c r="B40" s="9">
        <v>300986</v>
      </c>
      <c r="C40" s="11" t="s">
        <v>27</v>
      </c>
      <c r="D40" s="2" t="s">
        <v>26</v>
      </c>
      <c r="E40" s="9">
        <v>48</v>
      </c>
      <c r="F40" s="9">
        <v>768</v>
      </c>
      <c r="K40" s="2"/>
    </row>
    <row r="41" spans="1:11" x14ac:dyDescent="0.35">
      <c r="A41" s="6">
        <v>46050</v>
      </c>
      <c r="B41" s="9">
        <v>301034</v>
      </c>
      <c r="C41" s="11" t="s">
        <v>27</v>
      </c>
      <c r="D41" s="2" t="s">
        <v>26</v>
      </c>
      <c r="E41" s="9">
        <v>48</v>
      </c>
      <c r="F41" s="9">
        <v>768</v>
      </c>
      <c r="K41" s="2"/>
    </row>
    <row r="42" spans="1:11" x14ac:dyDescent="0.35">
      <c r="A42" s="6">
        <v>46050</v>
      </c>
      <c r="B42" s="9">
        <v>301039</v>
      </c>
      <c r="C42" s="11" t="s">
        <v>27</v>
      </c>
      <c r="D42" s="2" t="s">
        <v>26</v>
      </c>
      <c r="E42" s="9">
        <v>13</v>
      </c>
      <c r="F42" s="9">
        <v>208</v>
      </c>
      <c r="K42" s="2"/>
    </row>
    <row r="43" spans="1:11" x14ac:dyDescent="0.35">
      <c r="A43" s="6">
        <v>46051</v>
      </c>
      <c r="B43" s="9">
        <v>301075</v>
      </c>
      <c r="C43" s="11" t="s">
        <v>27</v>
      </c>
      <c r="D43" s="2" t="s">
        <v>26</v>
      </c>
      <c r="E43" s="9">
        <v>48</v>
      </c>
      <c r="F43" s="9">
        <v>768</v>
      </c>
      <c r="K43" s="2"/>
    </row>
    <row r="44" spans="1:11" x14ac:dyDescent="0.35">
      <c r="A44" s="6">
        <v>46051</v>
      </c>
      <c r="B44" s="9">
        <v>301092</v>
      </c>
      <c r="C44" s="11" t="s">
        <v>27</v>
      </c>
      <c r="D44" s="2" t="s">
        <v>26</v>
      </c>
      <c r="E44" s="9">
        <v>38</v>
      </c>
      <c r="F44" s="9">
        <v>608</v>
      </c>
      <c r="K44" s="2"/>
    </row>
    <row r="45" spans="1:11" x14ac:dyDescent="0.35">
      <c r="A45" s="6">
        <v>45962</v>
      </c>
      <c r="B45" s="9">
        <v>378847</v>
      </c>
      <c r="C45" s="11" t="s">
        <v>20</v>
      </c>
      <c r="D45" s="2" t="s">
        <v>6</v>
      </c>
      <c r="E45" s="9">
        <v>50</v>
      </c>
      <c r="F45" s="9">
        <v>800</v>
      </c>
      <c r="K45" s="2"/>
    </row>
    <row r="46" spans="1:11" x14ac:dyDescent="0.35">
      <c r="A46" s="6">
        <v>45962</v>
      </c>
      <c r="B46" s="9">
        <v>378860</v>
      </c>
      <c r="C46" s="11" t="s">
        <v>20</v>
      </c>
      <c r="D46" s="2" t="s">
        <v>6</v>
      </c>
      <c r="E46" s="9">
        <v>16</v>
      </c>
      <c r="F46" s="9">
        <v>256</v>
      </c>
      <c r="K46" s="2"/>
    </row>
    <row r="47" spans="1:11" x14ac:dyDescent="0.35">
      <c r="A47" s="6">
        <v>45964</v>
      </c>
      <c r="B47" s="9">
        <v>378914</v>
      </c>
      <c r="C47" s="11" t="s">
        <v>20</v>
      </c>
      <c r="D47" s="2" t="s">
        <v>6</v>
      </c>
      <c r="E47" s="9">
        <v>50</v>
      </c>
      <c r="F47" s="9">
        <v>800</v>
      </c>
      <c r="K47" s="2"/>
    </row>
    <row r="48" spans="1:11" x14ac:dyDescent="0.35">
      <c r="A48" s="6">
        <v>45964</v>
      </c>
      <c r="B48" s="9">
        <v>378919</v>
      </c>
      <c r="C48" s="11" t="s">
        <v>20</v>
      </c>
      <c r="D48" s="2" t="s">
        <v>6</v>
      </c>
      <c r="E48" s="9">
        <v>44</v>
      </c>
      <c r="F48" s="9">
        <v>704</v>
      </c>
      <c r="K48" s="2"/>
    </row>
    <row r="49" spans="1:11" x14ac:dyDescent="0.35">
      <c r="A49" s="6">
        <v>45971</v>
      </c>
      <c r="B49" s="9">
        <v>379445</v>
      </c>
      <c r="C49" s="11">
        <v>1</v>
      </c>
      <c r="D49" s="2" t="s">
        <v>7</v>
      </c>
      <c r="E49" s="9">
        <v>48</v>
      </c>
      <c r="F49" s="9">
        <v>768</v>
      </c>
      <c r="K49" s="2"/>
    </row>
    <row r="50" spans="1:11" x14ac:dyDescent="0.35">
      <c r="A50" s="6">
        <v>45971</v>
      </c>
      <c r="B50" s="9">
        <v>379449</v>
      </c>
      <c r="C50" s="11">
        <v>1</v>
      </c>
      <c r="D50" s="2" t="s">
        <v>7</v>
      </c>
      <c r="E50" s="9">
        <v>48</v>
      </c>
      <c r="F50" s="9">
        <v>768</v>
      </c>
      <c r="K50" s="2"/>
    </row>
    <row r="51" spans="1:11" x14ac:dyDescent="0.35">
      <c r="A51" s="6">
        <v>45972</v>
      </c>
      <c r="B51" s="9">
        <v>379505</v>
      </c>
      <c r="C51" s="11">
        <v>1</v>
      </c>
      <c r="D51" s="2" t="s">
        <v>7</v>
      </c>
      <c r="E51" s="9">
        <v>48</v>
      </c>
      <c r="F51" s="9">
        <v>768</v>
      </c>
      <c r="K51" s="2"/>
    </row>
    <row r="52" spans="1:11" x14ac:dyDescent="0.35">
      <c r="A52" s="6">
        <v>45972</v>
      </c>
      <c r="B52" s="9">
        <v>379536</v>
      </c>
      <c r="C52" s="11">
        <v>1</v>
      </c>
      <c r="D52" s="2" t="s">
        <v>7</v>
      </c>
      <c r="E52" s="9">
        <v>48</v>
      </c>
      <c r="F52" s="9">
        <v>768</v>
      </c>
      <c r="K52" s="2"/>
    </row>
    <row r="53" spans="1:11" x14ac:dyDescent="0.35">
      <c r="A53" s="6">
        <v>45973</v>
      </c>
      <c r="B53" s="9">
        <v>379583</v>
      </c>
      <c r="C53" s="11">
        <v>1</v>
      </c>
      <c r="D53" s="2" t="s">
        <v>7</v>
      </c>
      <c r="E53" s="9">
        <v>17</v>
      </c>
      <c r="F53" s="9">
        <v>272</v>
      </c>
      <c r="K53" s="2"/>
    </row>
    <row r="54" spans="1:11" x14ac:dyDescent="0.35">
      <c r="A54" s="6">
        <v>45973</v>
      </c>
      <c r="B54" s="9">
        <v>379584</v>
      </c>
      <c r="C54" s="11" t="s">
        <v>25</v>
      </c>
      <c r="D54" s="2" t="s">
        <v>7</v>
      </c>
      <c r="E54" s="9">
        <v>31</v>
      </c>
      <c r="F54" s="9">
        <v>496</v>
      </c>
      <c r="K54" s="2"/>
    </row>
    <row r="55" spans="1:11" x14ac:dyDescent="0.35">
      <c r="A55" s="6">
        <v>45973</v>
      </c>
      <c r="B55" s="9">
        <v>379593</v>
      </c>
      <c r="C55" s="11" t="s">
        <v>25</v>
      </c>
      <c r="D55" s="2" t="s">
        <v>7</v>
      </c>
      <c r="E55" s="9">
        <v>48</v>
      </c>
      <c r="F55" s="9">
        <v>768</v>
      </c>
      <c r="K55" s="2"/>
    </row>
    <row r="56" spans="1:11" x14ac:dyDescent="0.35">
      <c r="A56" s="6">
        <v>45973</v>
      </c>
      <c r="B56" s="9">
        <v>379624</v>
      </c>
      <c r="C56" s="11" t="s">
        <v>25</v>
      </c>
      <c r="D56" s="2" t="s">
        <v>7</v>
      </c>
      <c r="E56" s="9">
        <v>49</v>
      </c>
      <c r="F56" s="9">
        <v>784</v>
      </c>
      <c r="K56" s="2"/>
    </row>
    <row r="57" spans="1:11" x14ac:dyDescent="0.35">
      <c r="A57" s="6">
        <v>45973</v>
      </c>
      <c r="B57" s="9">
        <v>379631</v>
      </c>
      <c r="C57" s="11" t="s">
        <v>25</v>
      </c>
      <c r="D57" s="2" t="s">
        <v>7</v>
      </c>
      <c r="E57" s="9">
        <v>7</v>
      </c>
      <c r="F57" s="9">
        <v>112</v>
      </c>
      <c r="K57" s="2"/>
    </row>
    <row r="58" spans="1:11" x14ac:dyDescent="0.35">
      <c r="A58" s="6">
        <v>45973</v>
      </c>
      <c r="B58" s="9">
        <v>379634</v>
      </c>
      <c r="C58" s="11" t="s">
        <v>25</v>
      </c>
      <c r="D58" s="2" t="s">
        <v>7</v>
      </c>
      <c r="E58" s="9">
        <v>48</v>
      </c>
      <c r="F58" s="9">
        <v>768</v>
      </c>
      <c r="K58" s="2"/>
    </row>
    <row r="59" spans="1:11" x14ac:dyDescent="0.35">
      <c r="A59" s="6">
        <v>45989</v>
      </c>
      <c r="B59" s="9">
        <v>380280</v>
      </c>
      <c r="C59" s="11">
        <v>12</v>
      </c>
      <c r="D59" s="2" t="s">
        <v>6</v>
      </c>
      <c r="E59" s="9">
        <v>26</v>
      </c>
      <c r="F59" s="9">
        <v>416</v>
      </c>
      <c r="K59" s="2"/>
    </row>
    <row r="60" spans="1:11" x14ac:dyDescent="0.35">
      <c r="A60" s="6">
        <v>45989</v>
      </c>
      <c r="B60" s="9">
        <v>380281</v>
      </c>
      <c r="C60" s="11">
        <v>12</v>
      </c>
      <c r="D60" s="2" t="s">
        <v>6</v>
      </c>
      <c r="E60" s="9">
        <v>24</v>
      </c>
      <c r="F60" s="9">
        <v>384</v>
      </c>
      <c r="K60" s="2"/>
    </row>
    <row r="61" spans="1:11" x14ac:dyDescent="0.35">
      <c r="A61" s="6">
        <v>45989</v>
      </c>
      <c r="B61" s="9">
        <v>380303</v>
      </c>
      <c r="C61" s="11">
        <v>12</v>
      </c>
      <c r="D61" s="2" t="s">
        <v>6</v>
      </c>
      <c r="E61" s="9">
        <v>26</v>
      </c>
      <c r="F61" s="9">
        <v>416</v>
      </c>
      <c r="K61" s="2"/>
    </row>
    <row r="62" spans="1:11" x14ac:dyDescent="0.35">
      <c r="A62" s="6">
        <v>45989</v>
      </c>
      <c r="B62" s="9">
        <v>380304</v>
      </c>
      <c r="C62" s="11">
        <v>12</v>
      </c>
      <c r="D62" s="2" t="s">
        <v>6</v>
      </c>
      <c r="E62" s="9">
        <v>24</v>
      </c>
      <c r="F62" s="9">
        <v>384</v>
      </c>
      <c r="K62" s="2"/>
    </row>
    <row r="63" spans="1:11" x14ac:dyDescent="0.35">
      <c r="A63" s="6">
        <v>45989</v>
      </c>
      <c r="B63" s="9">
        <v>380323</v>
      </c>
      <c r="C63" s="11">
        <v>12</v>
      </c>
      <c r="D63" s="2" t="s">
        <v>6</v>
      </c>
      <c r="E63" s="9">
        <v>50</v>
      </c>
      <c r="F63" s="9">
        <v>800</v>
      </c>
      <c r="K63" s="2"/>
    </row>
    <row r="64" spans="1:11" x14ac:dyDescent="0.35">
      <c r="A64" s="6">
        <v>45989</v>
      </c>
      <c r="B64" s="9">
        <v>380330</v>
      </c>
      <c r="C64" s="11">
        <v>12</v>
      </c>
      <c r="D64" s="2" t="s">
        <v>6</v>
      </c>
      <c r="E64" s="9">
        <v>21</v>
      </c>
      <c r="F64" s="9">
        <v>336</v>
      </c>
      <c r="K64" s="2"/>
    </row>
    <row r="65" spans="1:11" x14ac:dyDescent="0.35">
      <c r="A65" s="6">
        <v>45989</v>
      </c>
      <c r="B65" s="9">
        <v>380331</v>
      </c>
      <c r="C65" s="11">
        <v>12</v>
      </c>
      <c r="D65" s="2" t="s">
        <v>6</v>
      </c>
      <c r="E65" s="9">
        <v>29</v>
      </c>
      <c r="F65" s="9">
        <v>464</v>
      </c>
      <c r="K65" s="2"/>
    </row>
    <row r="66" spans="1:11" x14ac:dyDescent="0.35">
      <c r="A66" s="6">
        <v>45989</v>
      </c>
      <c r="B66" s="9">
        <v>380332</v>
      </c>
      <c r="C66" s="11">
        <v>12</v>
      </c>
      <c r="D66" s="2" t="s">
        <v>6</v>
      </c>
      <c r="E66" s="9">
        <v>46</v>
      </c>
      <c r="F66" s="9">
        <v>736</v>
      </c>
      <c r="K66" s="2"/>
    </row>
    <row r="67" spans="1:11" x14ac:dyDescent="0.35">
      <c r="A67" s="6">
        <v>45989</v>
      </c>
      <c r="B67" s="9">
        <v>380334</v>
      </c>
      <c r="C67" s="11">
        <v>12</v>
      </c>
      <c r="D67" s="2" t="s">
        <v>6</v>
      </c>
      <c r="E67" s="9">
        <v>45</v>
      </c>
      <c r="F67" s="9">
        <v>720</v>
      </c>
      <c r="K67" s="2"/>
    </row>
    <row r="68" spans="1:11" x14ac:dyDescent="0.35">
      <c r="A68" s="6">
        <v>46010</v>
      </c>
      <c r="B68" s="9">
        <v>381805</v>
      </c>
      <c r="C68" s="11">
        <v>1</v>
      </c>
      <c r="D68" s="2" t="s">
        <v>7</v>
      </c>
      <c r="E68" s="9">
        <v>48</v>
      </c>
      <c r="F68" s="9">
        <v>768</v>
      </c>
      <c r="K68" s="2"/>
    </row>
    <row r="69" spans="1:11" x14ac:dyDescent="0.35">
      <c r="A69" s="6">
        <v>46010</v>
      </c>
      <c r="B69" s="9">
        <v>381833</v>
      </c>
      <c r="C69" s="11">
        <v>1</v>
      </c>
      <c r="D69" s="2" t="s">
        <v>7</v>
      </c>
      <c r="E69" s="9">
        <v>48</v>
      </c>
      <c r="F69" s="9">
        <v>768</v>
      </c>
      <c r="K69" s="2"/>
    </row>
    <row r="70" spans="1:11" x14ac:dyDescent="0.35">
      <c r="A70" s="6">
        <v>46010</v>
      </c>
      <c r="B70" s="9">
        <v>381839</v>
      </c>
      <c r="C70" s="11">
        <v>1</v>
      </c>
      <c r="D70" s="2" t="s">
        <v>7</v>
      </c>
      <c r="E70" s="9">
        <v>48</v>
      </c>
      <c r="F70" s="9">
        <v>768</v>
      </c>
    </row>
    <row r="71" spans="1:11" x14ac:dyDescent="0.35">
      <c r="A71" s="6">
        <v>46011</v>
      </c>
      <c r="B71" s="9">
        <v>381886</v>
      </c>
      <c r="C71" s="11" t="s">
        <v>25</v>
      </c>
      <c r="D71" s="2" t="s">
        <v>7</v>
      </c>
      <c r="E71" s="9">
        <v>48</v>
      </c>
      <c r="F71" s="9">
        <v>768</v>
      </c>
    </row>
    <row r="72" spans="1:11" x14ac:dyDescent="0.35">
      <c r="A72" s="6">
        <v>46011</v>
      </c>
      <c r="B72" s="9">
        <v>381909</v>
      </c>
      <c r="C72" s="11" t="s">
        <v>25</v>
      </c>
      <c r="D72" s="2" t="s">
        <v>7</v>
      </c>
      <c r="E72" s="9">
        <v>48</v>
      </c>
      <c r="F72" s="9">
        <v>768</v>
      </c>
    </row>
    <row r="73" spans="1:11" x14ac:dyDescent="0.35">
      <c r="A73" s="6">
        <v>46083</v>
      </c>
      <c r="B73" s="9">
        <v>17263</v>
      </c>
      <c r="C73" s="11" t="s">
        <v>36</v>
      </c>
      <c r="D73" s="2" t="s">
        <v>3</v>
      </c>
      <c r="E73" s="9">
        <v>50</v>
      </c>
      <c r="F73" s="9">
        <v>800</v>
      </c>
    </row>
    <row r="74" spans="1:11" x14ac:dyDescent="0.35">
      <c r="A74" s="6">
        <v>46083</v>
      </c>
      <c r="B74" s="9">
        <v>17270</v>
      </c>
      <c r="C74" s="11" t="s">
        <v>36</v>
      </c>
      <c r="D74" s="2" t="s">
        <v>3</v>
      </c>
      <c r="E74" s="9">
        <v>50</v>
      </c>
      <c r="F74" s="9">
        <v>800</v>
      </c>
    </row>
    <row r="75" spans="1:11" x14ac:dyDescent="0.35">
      <c r="A75" s="6">
        <v>46083</v>
      </c>
      <c r="B75" s="9">
        <v>17277</v>
      </c>
      <c r="C75" s="11" t="s">
        <v>36</v>
      </c>
      <c r="D75" s="2" t="s">
        <v>3</v>
      </c>
      <c r="E75" s="9">
        <v>50</v>
      </c>
      <c r="F75" s="9">
        <v>800</v>
      </c>
    </row>
    <row r="76" spans="1:11" x14ac:dyDescent="0.35">
      <c r="A76" s="6">
        <v>46083</v>
      </c>
      <c r="B76" s="9">
        <v>17281</v>
      </c>
      <c r="C76" s="11" t="s">
        <v>36</v>
      </c>
      <c r="D76" s="2" t="s">
        <v>3</v>
      </c>
      <c r="E76" s="9">
        <v>50</v>
      </c>
      <c r="F76" s="9">
        <v>800</v>
      </c>
    </row>
    <row r="77" spans="1:11" x14ac:dyDescent="0.35">
      <c r="A77" s="6">
        <v>46084</v>
      </c>
      <c r="B77" s="9">
        <v>17322</v>
      </c>
      <c r="C77" s="11" t="s">
        <v>37</v>
      </c>
      <c r="D77" s="2" t="s">
        <v>3</v>
      </c>
      <c r="E77" s="9">
        <v>50</v>
      </c>
      <c r="F77" s="9">
        <v>800</v>
      </c>
    </row>
    <row r="78" spans="1:11" x14ac:dyDescent="0.35">
      <c r="A78" s="6">
        <v>46084</v>
      </c>
      <c r="B78" s="9">
        <v>17346</v>
      </c>
      <c r="C78" s="11" t="s">
        <v>37</v>
      </c>
      <c r="D78" s="2" t="s">
        <v>3</v>
      </c>
      <c r="E78" s="9">
        <v>48</v>
      </c>
      <c r="F78" s="9">
        <v>768</v>
      </c>
    </row>
    <row r="79" spans="1:11" x14ac:dyDescent="0.35">
      <c r="A79" s="6">
        <v>46084</v>
      </c>
      <c r="B79" s="9">
        <v>17347</v>
      </c>
      <c r="C79" s="11" t="s">
        <v>37</v>
      </c>
      <c r="D79" s="2" t="s">
        <v>3</v>
      </c>
      <c r="E79" s="9">
        <v>16</v>
      </c>
      <c r="F79" s="9">
        <v>256</v>
      </c>
    </row>
    <row r="80" spans="1:11" x14ac:dyDescent="0.35">
      <c r="A80" s="6">
        <v>45958</v>
      </c>
      <c r="B80" s="9">
        <v>13886</v>
      </c>
      <c r="C80" s="11" t="s">
        <v>34</v>
      </c>
      <c r="D80" s="2" t="s">
        <v>35</v>
      </c>
      <c r="E80" s="9">
        <v>128</v>
      </c>
      <c r="F80" s="9">
        <v>2048</v>
      </c>
    </row>
    <row r="81" spans="1:6" x14ac:dyDescent="0.35">
      <c r="A81" s="6">
        <v>46036</v>
      </c>
      <c r="B81" s="9">
        <v>300035</v>
      </c>
      <c r="C81" s="11" t="s">
        <v>31</v>
      </c>
      <c r="D81" s="2" t="s">
        <v>7</v>
      </c>
      <c r="E81" s="9">
        <v>21</v>
      </c>
      <c r="F81" s="9">
        <f t="shared" ref="F81" si="0">E81*16</f>
        <v>336</v>
      </c>
    </row>
    <row r="82" spans="1:6" x14ac:dyDescent="0.35">
      <c r="A82" s="6">
        <v>46036</v>
      </c>
      <c r="B82" s="9">
        <v>300006</v>
      </c>
      <c r="C82" s="11" t="s">
        <v>20</v>
      </c>
      <c r="D82" s="2" t="s">
        <v>6</v>
      </c>
      <c r="E82" s="9">
        <v>50</v>
      </c>
      <c r="F82" s="9">
        <f>E82*16</f>
        <v>800</v>
      </c>
    </row>
    <row r="83" spans="1:6" x14ac:dyDescent="0.35">
      <c r="A83" s="6">
        <v>46036</v>
      </c>
      <c r="B83" s="9">
        <v>300021</v>
      </c>
      <c r="C83" s="11" t="s">
        <v>20</v>
      </c>
      <c r="D83" s="2" t="s">
        <v>6</v>
      </c>
      <c r="E83" s="9">
        <v>50</v>
      </c>
      <c r="F83" s="9">
        <f t="shared" ref="F83:F106" si="1">E83*16</f>
        <v>800</v>
      </c>
    </row>
    <row r="84" spans="1:6" x14ac:dyDescent="0.35">
      <c r="A84" s="6">
        <v>46036</v>
      </c>
      <c r="B84" s="9">
        <v>300031</v>
      </c>
      <c r="C84" s="11" t="s">
        <v>20</v>
      </c>
      <c r="D84" s="2" t="s">
        <v>6</v>
      </c>
      <c r="E84" s="9">
        <v>50</v>
      </c>
      <c r="F84" s="9">
        <f t="shared" si="1"/>
        <v>800</v>
      </c>
    </row>
    <row r="85" spans="1:6" x14ac:dyDescent="0.35">
      <c r="A85" s="6">
        <v>46036</v>
      </c>
      <c r="B85" s="9">
        <v>300036</v>
      </c>
      <c r="C85" s="11" t="s">
        <v>20</v>
      </c>
      <c r="D85" s="2" t="s">
        <v>6</v>
      </c>
      <c r="E85" s="9">
        <v>50</v>
      </c>
      <c r="F85" s="9">
        <f t="shared" si="1"/>
        <v>800</v>
      </c>
    </row>
    <row r="86" spans="1:6" x14ac:dyDescent="0.35">
      <c r="A86" s="6">
        <v>46036</v>
      </c>
      <c r="B86" s="9">
        <v>300040</v>
      </c>
      <c r="C86" s="11" t="s">
        <v>20</v>
      </c>
      <c r="D86" s="2" t="s">
        <v>6</v>
      </c>
      <c r="E86" s="9">
        <v>18</v>
      </c>
      <c r="F86" s="9">
        <f t="shared" si="1"/>
        <v>288</v>
      </c>
    </row>
    <row r="87" spans="1:6" x14ac:dyDescent="0.35">
      <c r="A87" s="6">
        <v>46055</v>
      </c>
      <c r="B87" s="9">
        <v>292184</v>
      </c>
      <c r="C87" s="11" t="s">
        <v>38</v>
      </c>
      <c r="D87" s="2" t="s">
        <v>24</v>
      </c>
      <c r="E87" s="9">
        <v>50</v>
      </c>
      <c r="F87" s="9">
        <f t="shared" si="1"/>
        <v>800</v>
      </c>
    </row>
    <row r="88" spans="1:6" x14ac:dyDescent="0.35">
      <c r="A88" s="6">
        <v>46055</v>
      </c>
      <c r="B88" s="9">
        <v>292192</v>
      </c>
      <c r="C88" s="11" t="s">
        <v>38</v>
      </c>
      <c r="D88" s="2" t="s">
        <v>24</v>
      </c>
      <c r="E88" s="9">
        <v>50</v>
      </c>
      <c r="F88" s="9">
        <f t="shared" si="1"/>
        <v>800</v>
      </c>
    </row>
    <row r="89" spans="1:6" x14ac:dyDescent="0.35">
      <c r="A89" s="6">
        <v>46055</v>
      </c>
      <c r="B89" s="9">
        <v>292196</v>
      </c>
      <c r="C89" s="11" t="s">
        <v>38</v>
      </c>
      <c r="D89" s="2" t="s">
        <v>24</v>
      </c>
      <c r="E89" s="9">
        <v>50</v>
      </c>
      <c r="F89" s="9">
        <f t="shared" si="1"/>
        <v>800</v>
      </c>
    </row>
    <row r="90" spans="1:6" x14ac:dyDescent="0.35">
      <c r="A90" s="6">
        <v>46057</v>
      </c>
      <c r="B90" s="9">
        <v>301625</v>
      </c>
      <c r="C90" s="11" t="s">
        <v>39</v>
      </c>
      <c r="D90" s="2" t="s">
        <v>26</v>
      </c>
      <c r="E90" s="9">
        <v>48</v>
      </c>
      <c r="F90" s="9">
        <f t="shared" si="1"/>
        <v>768</v>
      </c>
    </row>
    <row r="91" spans="1:6" x14ac:dyDescent="0.35">
      <c r="A91" s="6">
        <v>46057</v>
      </c>
      <c r="B91" s="9">
        <v>301633</v>
      </c>
      <c r="C91" s="11" t="s">
        <v>39</v>
      </c>
      <c r="D91" s="2" t="s">
        <v>26</v>
      </c>
      <c r="E91" s="9">
        <v>48</v>
      </c>
      <c r="F91" s="9">
        <f t="shared" si="1"/>
        <v>768</v>
      </c>
    </row>
    <row r="92" spans="1:6" x14ac:dyDescent="0.35">
      <c r="A92" s="6">
        <v>46057</v>
      </c>
      <c r="B92" s="9">
        <v>301680</v>
      </c>
      <c r="C92" s="11" t="s">
        <v>39</v>
      </c>
      <c r="D92" s="2" t="s">
        <v>26</v>
      </c>
      <c r="E92" s="9">
        <v>44</v>
      </c>
      <c r="F92" s="9">
        <f t="shared" si="1"/>
        <v>704</v>
      </c>
    </row>
    <row r="93" spans="1:6" x14ac:dyDescent="0.35">
      <c r="A93" s="6">
        <v>46057</v>
      </c>
      <c r="B93" s="9">
        <v>301681</v>
      </c>
      <c r="C93" s="11" t="s">
        <v>39</v>
      </c>
      <c r="D93" s="2" t="s">
        <v>26</v>
      </c>
      <c r="E93" s="9">
        <v>30</v>
      </c>
      <c r="F93" s="9">
        <f t="shared" si="1"/>
        <v>480</v>
      </c>
    </row>
    <row r="94" spans="1:6" x14ac:dyDescent="0.35">
      <c r="A94" s="6">
        <v>46057</v>
      </c>
      <c r="B94" s="9">
        <v>301690</v>
      </c>
      <c r="C94" s="11" t="s">
        <v>39</v>
      </c>
      <c r="D94" s="2" t="s">
        <v>26</v>
      </c>
      <c r="E94" s="9">
        <v>48</v>
      </c>
      <c r="F94" s="9">
        <f t="shared" si="1"/>
        <v>768</v>
      </c>
    </row>
    <row r="95" spans="1:6" x14ac:dyDescent="0.35">
      <c r="A95" s="6">
        <v>46085</v>
      </c>
      <c r="B95" s="9">
        <v>18534</v>
      </c>
      <c r="C95" s="11" t="s">
        <v>34</v>
      </c>
      <c r="D95" s="2" t="s">
        <v>35</v>
      </c>
      <c r="E95" s="9">
        <v>43</v>
      </c>
      <c r="F95" s="9">
        <f t="shared" si="1"/>
        <v>688</v>
      </c>
    </row>
    <row r="96" spans="1:6" x14ac:dyDescent="0.35">
      <c r="A96" s="6">
        <v>46085</v>
      </c>
      <c r="B96" s="9">
        <v>18534</v>
      </c>
      <c r="C96" s="11" t="s">
        <v>34</v>
      </c>
      <c r="D96" s="2" t="s">
        <v>35</v>
      </c>
      <c r="E96" s="9">
        <v>7</v>
      </c>
      <c r="F96" s="9">
        <f t="shared" si="1"/>
        <v>112</v>
      </c>
    </row>
    <row r="97" spans="1:6" x14ac:dyDescent="0.35">
      <c r="A97" s="6">
        <v>46085</v>
      </c>
      <c r="B97" s="9">
        <v>18542</v>
      </c>
      <c r="C97" s="11" t="s">
        <v>34</v>
      </c>
      <c r="D97" s="2" t="s">
        <v>35</v>
      </c>
      <c r="E97" s="9">
        <v>50</v>
      </c>
      <c r="F97" s="9">
        <f t="shared" si="1"/>
        <v>800</v>
      </c>
    </row>
    <row r="98" spans="1:6" x14ac:dyDescent="0.35">
      <c r="A98" s="6">
        <v>46092</v>
      </c>
      <c r="B98" s="9">
        <v>18930</v>
      </c>
      <c r="C98" s="11" t="s">
        <v>34</v>
      </c>
      <c r="D98" s="2" t="s">
        <v>35</v>
      </c>
      <c r="E98" s="9">
        <v>34.5</v>
      </c>
      <c r="F98" s="9">
        <f t="shared" si="1"/>
        <v>552</v>
      </c>
    </row>
    <row r="99" spans="1:6" x14ac:dyDescent="0.35">
      <c r="A99" s="6">
        <v>46148</v>
      </c>
      <c r="B99" s="9">
        <v>19938</v>
      </c>
      <c r="C99" s="11" t="s">
        <v>36</v>
      </c>
      <c r="D99" s="2" t="s">
        <v>3</v>
      </c>
      <c r="E99" s="9">
        <v>50</v>
      </c>
      <c r="F99" s="9">
        <f t="shared" si="1"/>
        <v>800</v>
      </c>
    </row>
    <row r="100" spans="1:6" x14ac:dyDescent="0.35">
      <c r="A100" s="6">
        <v>46148</v>
      </c>
      <c r="B100" s="9">
        <v>19951</v>
      </c>
      <c r="C100" s="11" t="s">
        <v>36</v>
      </c>
      <c r="D100" s="2" t="s">
        <v>3</v>
      </c>
      <c r="E100" s="9">
        <v>50</v>
      </c>
      <c r="F100" s="9">
        <f t="shared" si="1"/>
        <v>800</v>
      </c>
    </row>
    <row r="101" spans="1:6" x14ac:dyDescent="0.35">
      <c r="A101" s="6">
        <v>46148</v>
      </c>
      <c r="B101" s="9">
        <v>19962</v>
      </c>
      <c r="C101" s="11" t="s">
        <v>36</v>
      </c>
      <c r="D101" s="2" t="s">
        <v>3</v>
      </c>
      <c r="E101" s="9">
        <v>50</v>
      </c>
      <c r="F101" s="9">
        <f t="shared" si="1"/>
        <v>800</v>
      </c>
    </row>
    <row r="102" spans="1:6" x14ac:dyDescent="0.35">
      <c r="A102" s="6">
        <v>46148</v>
      </c>
      <c r="B102" s="9">
        <v>19969</v>
      </c>
      <c r="C102" s="11" t="s">
        <v>36</v>
      </c>
      <c r="D102" s="2" t="s">
        <v>3</v>
      </c>
      <c r="E102" s="9">
        <v>50</v>
      </c>
      <c r="F102" s="9">
        <f t="shared" si="1"/>
        <v>800</v>
      </c>
    </row>
    <row r="103" spans="1:6" x14ac:dyDescent="0.35">
      <c r="A103" s="6">
        <v>46150</v>
      </c>
      <c r="B103" s="9">
        <v>116592</v>
      </c>
      <c r="C103" s="11" t="s">
        <v>36</v>
      </c>
      <c r="D103" s="2" t="s">
        <v>3</v>
      </c>
      <c r="E103" s="9">
        <v>50</v>
      </c>
      <c r="F103" s="9">
        <f t="shared" si="1"/>
        <v>800</v>
      </c>
    </row>
    <row r="104" spans="1:6" x14ac:dyDescent="0.35">
      <c r="A104" s="6">
        <v>46150</v>
      </c>
      <c r="B104" s="9">
        <v>116595</v>
      </c>
      <c r="C104" s="11" t="s">
        <v>36</v>
      </c>
      <c r="D104" s="2" t="s">
        <v>3</v>
      </c>
      <c r="E104" s="9">
        <v>50</v>
      </c>
      <c r="F104" s="9">
        <f t="shared" si="1"/>
        <v>800</v>
      </c>
    </row>
    <row r="105" spans="1:6" x14ac:dyDescent="0.35">
      <c r="A105" s="6">
        <v>46150</v>
      </c>
      <c r="B105" s="9">
        <v>116607</v>
      </c>
      <c r="C105" s="11" t="s">
        <v>36</v>
      </c>
      <c r="D105" s="2" t="s">
        <v>3</v>
      </c>
      <c r="E105" s="9">
        <v>48</v>
      </c>
      <c r="F105" s="9">
        <f t="shared" si="1"/>
        <v>768</v>
      </c>
    </row>
    <row r="106" spans="1:6" x14ac:dyDescent="0.35">
      <c r="A106" s="6">
        <v>46150</v>
      </c>
      <c r="B106" s="9">
        <v>116609</v>
      </c>
      <c r="C106" s="11" t="s">
        <v>36</v>
      </c>
      <c r="D106" s="2" t="s">
        <v>3</v>
      </c>
      <c r="E106" s="9">
        <v>1.77</v>
      </c>
      <c r="F106" s="9">
        <f t="shared" si="1"/>
        <v>28.32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BA1C-8FD1-4EAF-85E5-CD7302C0C32E}">
  <dimension ref="A1:O36"/>
  <sheetViews>
    <sheetView workbookViewId="0">
      <pane ySplit="1" topLeftCell="A23" activePane="bottomLeft" state="frozen"/>
      <selection pane="bottomLeft" activeCell="L36" sqref="L36"/>
    </sheetView>
  </sheetViews>
  <sheetFormatPr defaultRowHeight="14.5" x14ac:dyDescent="0.35"/>
  <cols>
    <col min="1" max="1" width="12.36328125" style="2" bestFit="1" customWidth="1"/>
    <col min="2" max="2" width="14.08984375" style="6" bestFit="1" customWidth="1"/>
    <col min="3" max="3" width="8.90625" style="11" bestFit="1" customWidth="1"/>
    <col min="4" max="4" width="27.08984375" style="9" bestFit="1" customWidth="1"/>
    <col min="5" max="5" width="9.90625" style="9" bestFit="1" customWidth="1"/>
    <col min="6" max="6" width="10.26953125" style="9" bestFit="1" customWidth="1"/>
    <col min="7" max="7" width="17.453125" style="4" bestFit="1" customWidth="1"/>
    <col min="8" max="8" width="11.1796875" style="9" bestFit="1" customWidth="1"/>
    <col min="9" max="9" width="18.36328125" style="4" bestFit="1" customWidth="1"/>
    <col min="10" max="10" width="9.90625" style="9" bestFit="1" customWidth="1"/>
    <col min="11" max="11" width="17.08984375" style="4" bestFit="1" customWidth="1"/>
    <col min="12" max="12" width="10.453125" style="2" bestFit="1" customWidth="1"/>
    <col min="13" max="13" width="17.6328125" style="13" bestFit="1" customWidth="1"/>
    <col min="14" max="14" width="9.54296875" style="2" bestFit="1" customWidth="1"/>
    <col min="15" max="15" width="16.6328125" style="13" bestFit="1" customWidth="1"/>
  </cols>
  <sheetData>
    <row r="1" spans="1:15" s="1" customFormat="1" x14ac:dyDescent="0.35">
      <c r="A1" s="3" t="s">
        <v>5</v>
      </c>
      <c r="B1" s="7" t="s">
        <v>8</v>
      </c>
      <c r="C1" s="10" t="s">
        <v>1</v>
      </c>
      <c r="D1" s="8" t="s">
        <v>9</v>
      </c>
      <c r="E1" s="8" t="s">
        <v>23</v>
      </c>
      <c r="F1" s="8" t="s">
        <v>10</v>
      </c>
      <c r="G1" s="14" t="s">
        <v>11</v>
      </c>
      <c r="H1" s="8" t="s">
        <v>12</v>
      </c>
      <c r="I1" s="14" t="s">
        <v>13</v>
      </c>
      <c r="J1" s="8" t="s">
        <v>14</v>
      </c>
      <c r="K1" s="14" t="s">
        <v>15</v>
      </c>
      <c r="L1" s="3" t="s">
        <v>16</v>
      </c>
      <c r="M1" s="12" t="s">
        <v>17</v>
      </c>
      <c r="N1" s="3" t="s">
        <v>18</v>
      </c>
      <c r="O1" s="12" t="s">
        <v>19</v>
      </c>
    </row>
    <row r="2" spans="1:15" x14ac:dyDescent="0.35">
      <c r="A2" s="2" t="s">
        <v>7</v>
      </c>
      <c r="B2" s="6">
        <v>46037</v>
      </c>
      <c r="C2" s="11">
        <v>1</v>
      </c>
      <c r="D2" s="9">
        <v>336</v>
      </c>
      <c r="E2" s="9">
        <v>21</v>
      </c>
      <c r="F2" s="9">
        <v>2406</v>
      </c>
      <c r="G2" s="4">
        <v>0.66039999999999999</v>
      </c>
      <c r="H2" s="9">
        <v>0</v>
      </c>
      <c r="I2" s="4">
        <v>0</v>
      </c>
      <c r="J2" s="9">
        <v>0</v>
      </c>
      <c r="K2" s="4">
        <v>0</v>
      </c>
      <c r="L2" s="2">
        <v>73</v>
      </c>
      <c r="M2" s="13">
        <v>0.02</v>
      </c>
      <c r="N2" s="2">
        <v>1165</v>
      </c>
      <c r="O2" s="13">
        <v>0.31969999999999998</v>
      </c>
    </row>
    <row r="3" spans="1:15" x14ac:dyDescent="0.35">
      <c r="A3" s="2" t="s">
        <v>7</v>
      </c>
      <c r="B3" s="6">
        <v>46037</v>
      </c>
      <c r="C3" s="11" t="s">
        <v>25</v>
      </c>
      <c r="D3" s="9">
        <v>1200</v>
      </c>
      <c r="E3" s="9">
        <v>75</v>
      </c>
      <c r="F3" s="9">
        <v>4875</v>
      </c>
      <c r="G3" s="4">
        <v>0.37459999999999999</v>
      </c>
      <c r="H3" s="9">
        <v>0</v>
      </c>
      <c r="I3" s="4">
        <v>0</v>
      </c>
      <c r="J3" s="9">
        <v>0</v>
      </c>
      <c r="K3" s="4">
        <v>0</v>
      </c>
      <c r="L3" s="2">
        <v>260</v>
      </c>
      <c r="M3" s="13">
        <v>0.02</v>
      </c>
      <c r="N3" s="2">
        <v>7876</v>
      </c>
      <c r="O3" s="13">
        <v>0.60529999999999995</v>
      </c>
    </row>
    <row r="4" spans="1:15" x14ac:dyDescent="0.35">
      <c r="A4" s="2" t="s">
        <v>6</v>
      </c>
      <c r="B4" s="6">
        <v>46037</v>
      </c>
      <c r="C4" s="11" t="s">
        <v>20</v>
      </c>
      <c r="D4" s="9">
        <v>1600</v>
      </c>
      <c r="E4" s="9">
        <v>100</v>
      </c>
      <c r="F4" s="9">
        <v>950</v>
      </c>
      <c r="G4" s="4">
        <v>0.59379999999999999</v>
      </c>
      <c r="H4" s="9">
        <v>427</v>
      </c>
      <c r="I4" s="4">
        <v>0.26690000000000003</v>
      </c>
      <c r="J4" s="9">
        <v>0</v>
      </c>
      <c r="K4" s="4">
        <v>0</v>
      </c>
      <c r="L4" s="2">
        <v>44</v>
      </c>
      <c r="M4" s="13">
        <v>2.75E-2</v>
      </c>
      <c r="N4" s="2">
        <v>779</v>
      </c>
      <c r="O4" s="13">
        <v>0.4869</v>
      </c>
    </row>
    <row r="5" spans="1:15" x14ac:dyDescent="0.35">
      <c r="A5" s="2" t="s">
        <v>6</v>
      </c>
      <c r="B5" s="6">
        <v>46039</v>
      </c>
      <c r="C5" s="11">
        <v>12</v>
      </c>
      <c r="D5" s="9">
        <v>384</v>
      </c>
      <c r="E5" s="9">
        <v>24</v>
      </c>
      <c r="F5" s="9">
        <v>238</v>
      </c>
      <c r="G5" s="4">
        <v>0.61980000000000002</v>
      </c>
      <c r="H5" s="9">
        <v>107</v>
      </c>
      <c r="I5" s="4">
        <v>0.27860000000000001</v>
      </c>
      <c r="J5" s="9">
        <v>0</v>
      </c>
      <c r="K5" s="4">
        <v>0</v>
      </c>
      <c r="L5" s="2">
        <v>11</v>
      </c>
      <c r="M5" s="13">
        <v>2.86E-2</v>
      </c>
      <c r="N5" s="2">
        <v>172</v>
      </c>
      <c r="O5" s="13">
        <v>0.44790000000000002</v>
      </c>
    </row>
    <row r="6" spans="1:15" x14ac:dyDescent="0.35">
      <c r="A6" s="2" t="s">
        <v>6</v>
      </c>
      <c r="B6" s="6">
        <v>46038</v>
      </c>
      <c r="C6" s="11" t="s">
        <v>20</v>
      </c>
      <c r="D6" s="9">
        <v>1888</v>
      </c>
      <c r="E6" s="9">
        <v>118</v>
      </c>
      <c r="F6" s="9">
        <v>1052</v>
      </c>
      <c r="G6" s="4">
        <v>0.55720000000000003</v>
      </c>
      <c r="H6" s="9">
        <v>548</v>
      </c>
      <c r="I6" s="4">
        <v>0.2903</v>
      </c>
      <c r="J6" s="9">
        <v>0</v>
      </c>
      <c r="K6" s="4">
        <v>0</v>
      </c>
      <c r="L6" s="2">
        <v>52</v>
      </c>
      <c r="M6" s="13">
        <v>2.75E-2</v>
      </c>
      <c r="N6" s="2">
        <v>944</v>
      </c>
      <c r="O6" s="13">
        <v>0.5</v>
      </c>
    </row>
    <row r="7" spans="1:15" x14ac:dyDescent="0.35">
      <c r="A7" s="2" t="s">
        <v>6</v>
      </c>
      <c r="B7" s="6">
        <v>46039</v>
      </c>
      <c r="C7" s="11" t="s">
        <v>20</v>
      </c>
      <c r="D7" s="9">
        <v>1472</v>
      </c>
      <c r="E7" s="9">
        <v>92</v>
      </c>
      <c r="F7" s="9">
        <v>857</v>
      </c>
      <c r="G7" s="4">
        <v>0.58220000000000005</v>
      </c>
      <c r="H7" s="9">
        <v>393</v>
      </c>
      <c r="I7" s="4">
        <v>0.26700000000000002</v>
      </c>
      <c r="J7" s="9">
        <v>0</v>
      </c>
      <c r="K7" s="4">
        <v>0</v>
      </c>
      <c r="L7" s="2">
        <v>40</v>
      </c>
      <c r="M7" s="13">
        <v>2.7199999999999998E-2</v>
      </c>
      <c r="N7" s="2">
        <v>734</v>
      </c>
      <c r="O7" s="13">
        <v>0.49859999999999999</v>
      </c>
    </row>
    <row r="8" spans="1:15" x14ac:dyDescent="0.35">
      <c r="A8" s="2" t="s">
        <v>7</v>
      </c>
      <c r="B8" s="6">
        <v>46035</v>
      </c>
      <c r="C8" s="11">
        <v>1</v>
      </c>
      <c r="D8" s="9">
        <v>1536</v>
      </c>
      <c r="E8" s="9">
        <v>96</v>
      </c>
      <c r="F8" s="9">
        <v>6238</v>
      </c>
      <c r="G8" s="4">
        <v>0.3745</v>
      </c>
      <c r="H8" s="9">
        <v>0</v>
      </c>
      <c r="I8" s="4">
        <v>0</v>
      </c>
      <c r="J8" s="9">
        <v>0</v>
      </c>
      <c r="K8" s="4">
        <v>0</v>
      </c>
      <c r="L8" s="2">
        <v>333</v>
      </c>
      <c r="M8" s="13">
        <v>0.02</v>
      </c>
      <c r="N8" s="2">
        <v>10085</v>
      </c>
      <c r="O8" s="13">
        <v>0.60550000000000004</v>
      </c>
    </row>
    <row r="9" spans="1:15" x14ac:dyDescent="0.35">
      <c r="A9" s="5" t="s">
        <v>7</v>
      </c>
      <c r="B9" s="6">
        <v>46036</v>
      </c>
      <c r="C9" s="11" t="s">
        <v>31</v>
      </c>
      <c r="D9" s="9">
        <v>1536</v>
      </c>
      <c r="E9" s="9">
        <v>96</v>
      </c>
      <c r="F9" s="9">
        <v>5722</v>
      </c>
      <c r="G9" s="4">
        <v>0.34350000000000003</v>
      </c>
      <c r="H9" s="9">
        <v>0</v>
      </c>
      <c r="I9" s="4">
        <v>0</v>
      </c>
      <c r="J9" s="9">
        <v>0</v>
      </c>
      <c r="K9" s="4">
        <v>0</v>
      </c>
      <c r="L9" s="2">
        <v>333</v>
      </c>
      <c r="M9" s="13">
        <v>0.02</v>
      </c>
      <c r="N9" s="2">
        <v>10601</v>
      </c>
      <c r="O9" s="13">
        <v>0.63649999999999995</v>
      </c>
    </row>
    <row r="10" spans="1:15" x14ac:dyDescent="0.35">
      <c r="A10" s="5" t="s">
        <v>7</v>
      </c>
      <c r="B10" s="6">
        <v>46037</v>
      </c>
      <c r="C10" s="11" t="s">
        <v>31</v>
      </c>
      <c r="D10" s="9">
        <v>336</v>
      </c>
      <c r="E10" s="9">
        <v>21</v>
      </c>
      <c r="F10" s="9">
        <v>2406</v>
      </c>
      <c r="G10" s="4">
        <v>0.66039999999999999</v>
      </c>
      <c r="H10" s="9">
        <v>0</v>
      </c>
      <c r="I10" s="4">
        <v>0</v>
      </c>
      <c r="J10" s="9">
        <v>0</v>
      </c>
      <c r="K10" s="4">
        <v>0</v>
      </c>
      <c r="L10" s="2">
        <v>73</v>
      </c>
      <c r="M10" s="13">
        <v>0.02</v>
      </c>
      <c r="N10" s="2">
        <v>1165</v>
      </c>
      <c r="O10" s="13">
        <v>0.31969999999999998</v>
      </c>
    </row>
    <row r="11" spans="1:15" x14ac:dyDescent="0.35">
      <c r="A11" s="2" t="s">
        <v>7</v>
      </c>
      <c r="B11" s="6">
        <v>46038</v>
      </c>
      <c r="C11" s="11" t="s">
        <v>25</v>
      </c>
      <c r="D11" s="9">
        <v>1192</v>
      </c>
      <c r="E11" s="9">
        <v>74.5</v>
      </c>
      <c r="F11" s="9">
        <v>4474</v>
      </c>
      <c r="G11" s="4">
        <v>0.34610000000000002</v>
      </c>
      <c r="H11" s="9">
        <v>0</v>
      </c>
      <c r="I11" s="4">
        <v>0</v>
      </c>
      <c r="J11" s="9">
        <v>0</v>
      </c>
      <c r="K11" s="4">
        <v>0</v>
      </c>
      <c r="L11" s="2">
        <v>259</v>
      </c>
      <c r="M11" s="13">
        <v>0.02</v>
      </c>
      <c r="N11" s="2">
        <v>8193</v>
      </c>
      <c r="O11" s="13">
        <v>0.63390000000000002</v>
      </c>
    </row>
    <row r="12" spans="1:15" x14ac:dyDescent="0.35">
      <c r="A12" s="2" t="s">
        <v>6</v>
      </c>
      <c r="B12" s="6">
        <v>45974</v>
      </c>
      <c r="C12" s="11" t="s">
        <v>20</v>
      </c>
      <c r="D12" s="9">
        <v>1056</v>
      </c>
      <c r="E12" s="9">
        <v>66</v>
      </c>
      <c r="F12" s="9">
        <v>968</v>
      </c>
      <c r="G12" s="4">
        <v>0.91669999999999996</v>
      </c>
      <c r="H12" s="9">
        <v>263</v>
      </c>
      <c r="I12" s="4">
        <v>0.24909999999999999</v>
      </c>
      <c r="J12" s="9">
        <v>0</v>
      </c>
      <c r="K12" s="4">
        <v>0</v>
      </c>
      <c r="L12" s="2">
        <v>29</v>
      </c>
      <c r="M12" s="13">
        <v>2.75E-2</v>
      </c>
      <c r="N12" s="2">
        <v>192</v>
      </c>
      <c r="O12" s="13">
        <v>0.18179999999999999</v>
      </c>
    </row>
    <row r="13" spans="1:15" x14ac:dyDescent="0.35">
      <c r="A13" s="2" t="s">
        <v>6</v>
      </c>
      <c r="B13" s="6">
        <v>45975</v>
      </c>
      <c r="C13" s="11" t="s">
        <v>20</v>
      </c>
      <c r="D13" s="9">
        <v>1504</v>
      </c>
      <c r="E13" s="9">
        <v>94</v>
      </c>
      <c r="F13" s="9">
        <v>1506</v>
      </c>
      <c r="G13" s="4">
        <v>1.0013000000000001</v>
      </c>
      <c r="H13" s="9">
        <v>330</v>
      </c>
      <c r="I13" s="4">
        <v>0.21940000000000001</v>
      </c>
      <c r="J13" s="9">
        <v>0</v>
      </c>
      <c r="K13" s="4">
        <v>0</v>
      </c>
      <c r="L13" s="2">
        <v>41</v>
      </c>
      <c r="M13" s="13">
        <v>2.7300000000000001E-2</v>
      </c>
      <c r="N13" s="2">
        <v>191</v>
      </c>
      <c r="O13" s="13">
        <v>0.127</v>
      </c>
    </row>
    <row r="14" spans="1:15" x14ac:dyDescent="0.35">
      <c r="A14" s="2" t="s">
        <v>7</v>
      </c>
      <c r="B14" s="6">
        <v>46012</v>
      </c>
      <c r="C14" s="11" t="s">
        <v>31</v>
      </c>
      <c r="D14" s="9">
        <v>2304</v>
      </c>
      <c r="E14" s="9">
        <v>144</v>
      </c>
      <c r="F14" s="9">
        <v>14300</v>
      </c>
      <c r="G14" s="4">
        <v>0.57240000000000002</v>
      </c>
      <c r="H14" s="9">
        <v>0</v>
      </c>
      <c r="I14" s="4">
        <v>0</v>
      </c>
      <c r="J14" s="9">
        <v>0</v>
      </c>
      <c r="K14" s="4">
        <v>0</v>
      </c>
      <c r="L14" s="2">
        <v>500</v>
      </c>
      <c r="M14" s="13">
        <v>0.02</v>
      </c>
      <c r="N14" s="2">
        <v>10184</v>
      </c>
      <c r="O14" s="13">
        <v>0.40760000000000002</v>
      </c>
    </row>
    <row r="15" spans="1:15" x14ac:dyDescent="0.35">
      <c r="A15" s="2" t="s">
        <v>7</v>
      </c>
      <c r="B15" s="6">
        <v>46012</v>
      </c>
      <c r="C15" s="11" t="s">
        <v>25</v>
      </c>
      <c r="D15" s="9">
        <v>1536</v>
      </c>
      <c r="E15" s="9">
        <v>96</v>
      </c>
      <c r="F15" s="9">
        <v>11683</v>
      </c>
      <c r="G15" s="4">
        <v>0.70140000000000002</v>
      </c>
      <c r="H15" s="9">
        <v>0</v>
      </c>
      <c r="I15" s="4">
        <v>0</v>
      </c>
      <c r="J15" s="9">
        <v>0</v>
      </c>
      <c r="K15" s="4">
        <v>0</v>
      </c>
      <c r="L15" s="2">
        <v>333</v>
      </c>
      <c r="M15" s="13">
        <v>0.02</v>
      </c>
      <c r="N15" s="2">
        <v>4640</v>
      </c>
      <c r="O15" s="13">
        <v>0.27860000000000001</v>
      </c>
    </row>
    <row r="16" spans="1:15" x14ac:dyDescent="0.35">
      <c r="A16" s="2" t="s">
        <v>24</v>
      </c>
      <c r="B16" s="6">
        <v>46049</v>
      </c>
      <c r="C16" s="11" t="s">
        <v>28</v>
      </c>
      <c r="D16" s="9">
        <v>1440</v>
      </c>
      <c r="E16" s="9">
        <v>90</v>
      </c>
      <c r="F16" s="9">
        <v>1269</v>
      </c>
      <c r="G16" s="4">
        <v>0.88129999999999997</v>
      </c>
      <c r="H16" s="9">
        <v>306</v>
      </c>
      <c r="I16" s="4">
        <v>0.21249999999999999</v>
      </c>
      <c r="J16" s="9">
        <v>0</v>
      </c>
      <c r="K16" s="4">
        <v>0</v>
      </c>
      <c r="L16" s="2">
        <v>41</v>
      </c>
      <c r="M16" s="13">
        <v>2.8500000000000001E-2</v>
      </c>
      <c r="N16" s="2">
        <v>454</v>
      </c>
      <c r="O16" s="13">
        <v>0.31530000000000002</v>
      </c>
    </row>
    <row r="17" spans="1:15" x14ac:dyDescent="0.35">
      <c r="A17" s="2" t="s">
        <v>26</v>
      </c>
      <c r="B17" s="6">
        <v>46046</v>
      </c>
      <c r="C17" s="11" t="s">
        <v>32</v>
      </c>
      <c r="D17" s="9">
        <v>2000</v>
      </c>
      <c r="E17" s="9">
        <v>125</v>
      </c>
      <c r="F17" s="9">
        <v>16824</v>
      </c>
      <c r="G17" s="4">
        <v>0.77569999999999995</v>
      </c>
      <c r="H17" s="9">
        <v>0</v>
      </c>
      <c r="I17" s="4">
        <v>0</v>
      </c>
      <c r="J17" s="9">
        <v>0</v>
      </c>
      <c r="K17" s="4">
        <v>0</v>
      </c>
      <c r="L17" s="2">
        <v>434</v>
      </c>
      <c r="M17" s="13">
        <v>0.02</v>
      </c>
      <c r="N17" s="2">
        <v>4429</v>
      </c>
      <c r="O17" s="13">
        <v>0.20419999999999999</v>
      </c>
    </row>
    <row r="18" spans="1:15" x14ac:dyDescent="0.35">
      <c r="A18" s="2" t="s">
        <v>26</v>
      </c>
      <c r="B18" s="6">
        <v>46049</v>
      </c>
      <c r="C18" s="11" t="s">
        <v>32</v>
      </c>
      <c r="D18" s="9">
        <v>5248</v>
      </c>
      <c r="E18" s="9">
        <v>328</v>
      </c>
      <c r="F18" s="9">
        <v>46324</v>
      </c>
      <c r="G18" s="4">
        <v>0.81399999999999995</v>
      </c>
      <c r="H18" s="9">
        <v>0</v>
      </c>
      <c r="I18" s="4">
        <v>0</v>
      </c>
      <c r="J18" s="9">
        <v>0</v>
      </c>
      <c r="K18" s="4">
        <v>0</v>
      </c>
      <c r="L18" s="2">
        <v>1138</v>
      </c>
      <c r="M18" s="13">
        <v>0.02</v>
      </c>
      <c r="N18" s="2">
        <v>9446</v>
      </c>
      <c r="O18" s="13">
        <v>0.16600000000000001</v>
      </c>
    </row>
    <row r="19" spans="1:15" x14ac:dyDescent="0.35">
      <c r="A19" s="2" t="s">
        <v>26</v>
      </c>
      <c r="B19" s="6">
        <v>46049</v>
      </c>
      <c r="C19" s="11" t="s">
        <v>32</v>
      </c>
      <c r="D19" s="9">
        <v>80</v>
      </c>
      <c r="E19" s="9">
        <v>5</v>
      </c>
      <c r="F19" s="9">
        <v>550</v>
      </c>
      <c r="G19" s="4">
        <v>0.63400000000000001</v>
      </c>
      <c r="H19" s="9">
        <v>0</v>
      </c>
      <c r="I19" s="4">
        <v>0</v>
      </c>
      <c r="J19" s="9">
        <v>0</v>
      </c>
      <c r="K19" s="4">
        <v>0</v>
      </c>
      <c r="L19" s="2">
        <v>17</v>
      </c>
      <c r="M19" s="13">
        <v>1.9599999999999999E-2</v>
      </c>
      <c r="N19" s="2">
        <v>301</v>
      </c>
      <c r="O19" s="13">
        <v>0.34699999999999998</v>
      </c>
    </row>
    <row r="20" spans="1:15" x14ac:dyDescent="0.35">
      <c r="A20" s="2" t="s">
        <v>6</v>
      </c>
      <c r="B20" s="6">
        <v>45990</v>
      </c>
      <c r="C20" s="11" t="s">
        <v>33</v>
      </c>
      <c r="D20" s="9">
        <v>4656</v>
      </c>
      <c r="E20" s="9">
        <v>291</v>
      </c>
      <c r="F20" s="9">
        <v>4001</v>
      </c>
      <c r="G20" s="4">
        <v>0.85929999999999995</v>
      </c>
      <c r="H20" s="9">
        <v>903</v>
      </c>
      <c r="I20" s="4">
        <v>0.19389999999999999</v>
      </c>
      <c r="J20" s="9">
        <v>0</v>
      </c>
      <c r="K20" s="4">
        <v>0</v>
      </c>
      <c r="L20" s="2">
        <v>128</v>
      </c>
      <c r="M20" s="13">
        <v>2.75E-2</v>
      </c>
      <c r="N20" s="2">
        <v>1370</v>
      </c>
      <c r="O20" s="13">
        <v>0.29420000000000002</v>
      </c>
    </row>
    <row r="21" spans="1:15" x14ac:dyDescent="0.35">
      <c r="A21" s="2" t="s">
        <v>7</v>
      </c>
      <c r="B21" s="6">
        <v>45981</v>
      </c>
      <c r="C21" s="11" t="s">
        <v>31</v>
      </c>
      <c r="D21" s="9">
        <v>1536</v>
      </c>
      <c r="E21" s="9">
        <v>96</v>
      </c>
      <c r="F21" s="9">
        <v>13552</v>
      </c>
      <c r="G21" s="4">
        <v>0.81359999999999999</v>
      </c>
      <c r="H21" s="9">
        <v>0</v>
      </c>
      <c r="I21" s="4">
        <v>0</v>
      </c>
      <c r="J21" s="9">
        <v>0</v>
      </c>
      <c r="K21" s="4">
        <v>0</v>
      </c>
      <c r="L21" s="2">
        <v>333</v>
      </c>
      <c r="M21" s="13">
        <v>0.02</v>
      </c>
      <c r="N21" s="2">
        <v>2771</v>
      </c>
      <c r="O21" s="13">
        <v>0.16639999999999999</v>
      </c>
    </row>
    <row r="22" spans="1:15" x14ac:dyDescent="0.35">
      <c r="A22" s="2" t="s">
        <v>7</v>
      </c>
      <c r="B22" s="6">
        <v>45982</v>
      </c>
      <c r="C22" s="11" t="s">
        <v>31</v>
      </c>
      <c r="D22" s="9">
        <v>1536</v>
      </c>
      <c r="E22" s="9">
        <v>96</v>
      </c>
      <c r="F22" s="9">
        <v>14141</v>
      </c>
      <c r="G22" s="4">
        <v>0.84899999999999998</v>
      </c>
      <c r="H22" s="9">
        <v>0</v>
      </c>
      <c r="I22" s="4">
        <v>0</v>
      </c>
      <c r="J22" s="9">
        <v>0</v>
      </c>
      <c r="K22" s="4">
        <v>0</v>
      </c>
      <c r="L22" s="2">
        <v>333</v>
      </c>
      <c r="M22" s="13">
        <v>0.02</v>
      </c>
      <c r="N22" s="2">
        <v>2182</v>
      </c>
      <c r="O22" s="13">
        <v>0.13100000000000001</v>
      </c>
    </row>
    <row r="23" spans="1:15" x14ac:dyDescent="0.35">
      <c r="A23" s="2" t="s">
        <v>7</v>
      </c>
      <c r="B23" s="6">
        <v>45985</v>
      </c>
      <c r="C23" s="11" t="s">
        <v>31</v>
      </c>
      <c r="D23" s="9">
        <v>272</v>
      </c>
      <c r="E23" s="9">
        <v>17</v>
      </c>
      <c r="F23" s="9">
        <v>2464</v>
      </c>
      <c r="G23" s="4">
        <v>0.83540000000000003</v>
      </c>
      <c r="H23" s="9">
        <v>0</v>
      </c>
      <c r="I23" s="4">
        <v>0</v>
      </c>
      <c r="J23" s="9">
        <v>0</v>
      </c>
      <c r="K23" s="4">
        <v>0</v>
      </c>
      <c r="L23" s="2">
        <v>59</v>
      </c>
      <c r="M23" s="13">
        <v>0.02</v>
      </c>
      <c r="N23" s="2">
        <v>426</v>
      </c>
      <c r="O23" s="13">
        <v>0.1444</v>
      </c>
    </row>
    <row r="24" spans="1:15" x14ac:dyDescent="0.35">
      <c r="A24" s="2" t="s">
        <v>7</v>
      </c>
      <c r="B24" s="6">
        <v>45985</v>
      </c>
      <c r="C24" s="11" t="s">
        <v>25</v>
      </c>
      <c r="D24" s="9">
        <v>2928</v>
      </c>
      <c r="E24" s="9">
        <v>183</v>
      </c>
      <c r="F24" s="9">
        <v>26289</v>
      </c>
      <c r="G24" s="4">
        <v>0.82799999999999996</v>
      </c>
      <c r="H24" s="9">
        <v>0</v>
      </c>
      <c r="I24" s="4">
        <v>0</v>
      </c>
      <c r="J24" s="9">
        <v>0</v>
      </c>
      <c r="K24" s="4">
        <v>0</v>
      </c>
      <c r="L24" s="2">
        <v>635</v>
      </c>
      <c r="M24" s="13">
        <v>0.02</v>
      </c>
      <c r="N24" s="2">
        <v>4827</v>
      </c>
      <c r="O24" s="13">
        <v>0.152</v>
      </c>
    </row>
    <row r="25" spans="1:15" s="2" customFormat="1" x14ac:dyDescent="0.35">
      <c r="A25" s="2" t="s">
        <v>35</v>
      </c>
      <c r="B25" s="6">
        <v>45964</v>
      </c>
      <c r="C25" s="11" t="s">
        <v>34</v>
      </c>
      <c r="D25" s="9">
        <f>E25*16</f>
        <v>2048</v>
      </c>
      <c r="E25" s="9">
        <v>128</v>
      </c>
      <c r="F25" s="9">
        <v>2512</v>
      </c>
      <c r="G25" s="4">
        <v>0.89331000000000005</v>
      </c>
      <c r="H25" s="9">
        <v>300</v>
      </c>
      <c r="I25" s="4">
        <v>0.10668999999999999</v>
      </c>
      <c r="J25" s="9">
        <v>0</v>
      </c>
      <c r="K25" s="4">
        <v>0</v>
      </c>
      <c r="L25" s="2">
        <v>59</v>
      </c>
      <c r="M25" s="13">
        <f>L25/2812</f>
        <v>2.0981507823613087E-2</v>
      </c>
      <c r="N25" s="2">
        <v>98</v>
      </c>
      <c r="O25" s="13">
        <f>N25/2812</f>
        <v>3.4850640113798008E-2</v>
      </c>
    </row>
    <row r="26" spans="1:15" x14ac:dyDescent="0.35">
      <c r="A26" s="2" t="s">
        <v>3</v>
      </c>
      <c r="B26" s="6">
        <v>46085</v>
      </c>
      <c r="C26" s="11" t="s">
        <v>36</v>
      </c>
      <c r="D26" s="9">
        <f t="shared" ref="D26" si="0">E26*16</f>
        <v>3200</v>
      </c>
      <c r="E26" s="9">
        <v>200</v>
      </c>
      <c r="F26" s="9">
        <v>3287</v>
      </c>
      <c r="G26" s="4">
        <f>F26/4333</f>
        <v>0.75859681513962618</v>
      </c>
      <c r="H26" s="9">
        <v>1046</v>
      </c>
      <c r="I26" s="4">
        <f>H26/4333</f>
        <v>0.24140318486037388</v>
      </c>
      <c r="J26" s="9">
        <v>0</v>
      </c>
      <c r="K26" s="4">
        <f>J26/4333</f>
        <v>0</v>
      </c>
      <c r="L26" s="2">
        <v>93</v>
      </c>
      <c r="M26" s="4">
        <f>L26/4333</f>
        <v>2.1463189476113548E-2</v>
      </c>
      <c r="N26" s="2">
        <v>214</v>
      </c>
      <c r="O26" s="4">
        <f>N26/4333</f>
        <v>4.9388414493422572E-2</v>
      </c>
    </row>
    <row r="27" spans="1:15" x14ac:dyDescent="0.35">
      <c r="A27" s="2" t="s">
        <v>3</v>
      </c>
      <c r="B27" s="6">
        <v>46085</v>
      </c>
      <c r="C27" s="11" t="s">
        <v>37</v>
      </c>
      <c r="D27" s="9">
        <f>E27*16</f>
        <v>1824</v>
      </c>
      <c r="E27" s="9">
        <v>114</v>
      </c>
      <c r="F27" s="9">
        <v>1722</v>
      </c>
      <c r="G27" s="4">
        <f>F27/2131</f>
        <v>0.80807132801501647</v>
      </c>
      <c r="H27" s="9">
        <v>409</v>
      </c>
      <c r="I27" s="4">
        <f>H27/2131</f>
        <v>0.19192867198498356</v>
      </c>
      <c r="J27" s="9">
        <v>0</v>
      </c>
      <c r="K27" s="4">
        <f>J27/2131</f>
        <v>0</v>
      </c>
      <c r="L27" s="2">
        <v>53</v>
      </c>
      <c r="M27" s="4">
        <f>L27/2131</f>
        <v>2.4870952604411075E-2</v>
      </c>
      <c r="N27" s="2">
        <v>461</v>
      </c>
      <c r="O27" s="4">
        <f>N27/2131</f>
        <v>0.21633036133270764</v>
      </c>
    </row>
    <row r="28" spans="1:15" x14ac:dyDescent="0.35">
      <c r="A28" s="2" t="s">
        <v>3</v>
      </c>
      <c r="B28" s="6">
        <v>46055</v>
      </c>
      <c r="C28" s="11" t="s">
        <v>29</v>
      </c>
      <c r="D28" s="9">
        <v>2544</v>
      </c>
      <c r="E28" s="9">
        <f t="shared" ref="E28:E35" si="1">D28/16</f>
        <v>159</v>
      </c>
      <c r="F28" s="9">
        <v>2620</v>
      </c>
      <c r="G28" s="4">
        <v>0.71640000000000004</v>
      </c>
      <c r="H28" s="9">
        <v>544</v>
      </c>
      <c r="I28" s="4">
        <v>0.14879999999999999</v>
      </c>
      <c r="J28" s="9">
        <v>0</v>
      </c>
      <c r="K28" s="4">
        <v>0</v>
      </c>
      <c r="L28" s="2">
        <v>73</v>
      </c>
      <c r="M28" s="13">
        <v>2.87E-2</v>
      </c>
      <c r="N28" s="2">
        <v>420</v>
      </c>
      <c r="O28" s="13">
        <v>0.1651</v>
      </c>
    </row>
    <row r="29" spans="1:15" x14ac:dyDescent="0.35">
      <c r="A29" s="2" t="s">
        <v>3</v>
      </c>
      <c r="B29" s="6">
        <v>46055</v>
      </c>
      <c r="C29" s="11" t="s">
        <v>30</v>
      </c>
      <c r="D29" s="9">
        <v>3840</v>
      </c>
      <c r="E29" s="9">
        <f t="shared" si="1"/>
        <v>240</v>
      </c>
      <c r="F29" s="9">
        <v>3261</v>
      </c>
      <c r="G29" s="4">
        <v>0.84919999999999995</v>
      </c>
      <c r="H29" s="9">
        <v>1049</v>
      </c>
      <c r="I29" s="4">
        <v>0.2732</v>
      </c>
      <c r="J29" s="9">
        <v>0</v>
      </c>
      <c r="K29" s="4">
        <v>0</v>
      </c>
      <c r="L29" s="2">
        <v>110</v>
      </c>
      <c r="M29" s="13">
        <v>2.86E-2</v>
      </c>
      <c r="N29" s="2">
        <v>1100</v>
      </c>
      <c r="O29" s="13">
        <v>0.28649999999999998</v>
      </c>
    </row>
    <row r="30" spans="1:15" x14ac:dyDescent="0.35">
      <c r="A30" s="2" t="s">
        <v>24</v>
      </c>
      <c r="B30" s="6">
        <v>46056</v>
      </c>
      <c r="C30" s="11" t="s">
        <v>38</v>
      </c>
      <c r="D30" s="9">
        <v>2400</v>
      </c>
      <c r="E30" s="9">
        <f t="shared" si="1"/>
        <v>150</v>
      </c>
      <c r="F30" s="9">
        <v>2468</v>
      </c>
      <c r="G30" s="4">
        <v>1.0283</v>
      </c>
      <c r="H30" s="9">
        <v>204</v>
      </c>
      <c r="I30" s="4">
        <v>8.5000000000000006E-2</v>
      </c>
      <c r="J30" s="9">
        <v>0</v>
      </c>
      <c r="K30" s="4">
        <v>0</v>
      </c>
      <c r="L30" s="2">
        <v>69</v>
      </c>
      <c r="M30" s="13">
        <v>2.8799999999999999E-2</v>
      </c>
      <c r="N30" s="2">
        <v>709</v>
      </c>
      <c r="O30" s="13">
        <v>0.2954</v>
      </c>
    </row>
    <row r="31" spans="1:15" x14ac:dyDescent="0.35">
      <c r="A31" s="2" t="s">
        <v>26</v>
      </c>
      <c r="B31" s="6">
        <v>46050</v>
      </c>
      <c r="C31" s="11" t="s">
        <v>32</v>
      </c>
      <c r="D31" s="9">
        <v>480</v>
      </c>
      <c r="E31" s="9">
        <f t="shared" si="1"/>
        <v>30</v>
      </c>
      <c r="F31" s="9">
        <v>4162</v>
      </c>
      <c r="G31" s="4">
        <v>0.79959999999999998</v>
      </c>
      <c r="H31" s="9">
        <v>0</v>
      </c>
      <c r="I31" s="4">
        <v>0</v>
      </c>
      <c r="J31" s="9">
        <v>0</v>
      </c>
      <c r="K31" s="4">
        <v>0</v>
      </c>
      <c r="L31" s="2">
        <v>104</v>
      </c>
      <c r="M31" s="13">
        <v>0.02</v>
      </c>
      <c r="N31" s="2">
        <v>939</v>
      </c>
      <c r="O31" s="13">
        <v>0.1804</v>
      </c>
    </row>
    <row r="32" spans="1:15" x14ac:dyDescent="0.35">
      <c r="A32" s="2" t="s">
        <v>26</v>
      </c>
      <c r="B32" s="6">
        <v>46051</v>
      </c>
      <c r="C32" s="11" t="s">
        <v>32</v>
      </c>
      <c r="D32" s="9">
        <v>32</v>
      </c>
      <c r="E32" s="9">
        <f t="shared" si="1"/>
        <v>2</v>
      </c>
      <c r="F32" s="9">
        <v>219</v>
      </c>
      <c r="G32" s="4">
        <v>0.63109999999999999</v>
      </c>
      <c r="H32" s="9">
        <v>0</v>
      </c>
      <c r="I32" s="4">
        <v>0</v>
      </c>
      <c r="J32" s="9">
        <v>0</v>
      </c>
      <c r="K32" s="4">
        <v>0</v>
      </c>
      <c r="L32" s="2">
        <v>7</v>
      </c>
      <c r="M32" s="13">
        <v>2.0199999999999999E-2</v>
      </c>
      <c r="N32" s="2">
        <v>121</v>
      </c>
      <c r="O32" s="13">
        <v>0.34870000000000001</v>
      </c>
    </row>
    <row r="33" spans="1:15" x14ac:dyDescent="0.35">
      <c r="A33" s="2" t="s">
        <v>26</v>
      </c>
      <c r="B33" s="6">
        <v>46050</v>
      </c>
      <c r="C33" s="11" t="s">
        <v>27</v>
      </c>
      <c r="D33" s="9">
        <v>2448</v>
      </c>
      <c r="E33" s="9">
        <f t="shared" si="1"/>
        <v>153</v>
      </c>
      <c r="F33" s="9">
        <v>19925</v>
      </c>
      <c r="G33" s="4">
        <v>0.75060000000000004</v>
      </c>
      <c r="H33" s="9">
        <v>0</v>
      </c>
      <c r="I33" s="4">
        <v>0</v>
      </c>
      <c r="J33" s="9">
        <v>0</v>
      </c>
      <c r="K33" s="4">
        <v>0</v>
      </c>
      <c r="L33" s="2">
        <v>531</v>
      </c>
      <c r="M33" s="13">
        <v>0.02</v>
      </c>
      <c r="N33" s="2">
        <v>6090</v>
      </c>
      <c r="O33" s="13">
        <v>0.22939999999999999</v>
      </c>
    </row>
    <row r="34" spans="1:15" x14ac:dyDescent="0.35">
      <c r="A34" s="2" t="s">
        <v>26</v>
      </c>
      <c r="B34" s="6">
        <v>46051</v>
      </c>
      <c r="C34" s="11" t="s">
        <v>27</v>
      </c>
      <c r="D34" s="9">
        <v>64</v>
      </c>
      <c r="E34" s="9">
        <f t="shared" si="1"/>
        <v>4</v>
      </c>
      <c r="F34" s="9">
        <v>439</v>
      </c>
      <c r="G34" s="4">
        <v>0.63260000000000005</v>
      </c>
      <c r="H34" s="9">
        <v>0</v>
      </c>
      <c r="I34" s="4">
        <v>0</v>
      </c>
      <c r="J34" s="9">
        <v>0</v>
      </c>
      <c r="K34" s="4">
        <v>0</v>
      </c>
      <c r="L34" s="2">
        <v>14</v>
      </c>
      <c r="M34" s="13">
        <v>2.0199999999999999E-2</v>
      </c>
      <c r="N34" s="2">
        <v>241</v>
      </c>
      <c r="O34" s="13">
        <v>0.3473</v>
      </c>
    </row>
    <row r="35" spans="1:15" x14ac:dyDescent="0.35">
      <c r="A35" s="2" t="s">
        <v>26</v>
      </c>
      <c r="B35" s="6">
        <v>46051</v>
      </c>
      <c r="C35" s="11" t="s">
        <v>27</v>
      </c>
      <c r="D35" s="9">
        <v>1376</v>
      </c>
      <c r="E35" s="9">
        <f t="shared" si="1"/>
        <v>86</v>
      </c>
      <c r="F35" s="9">
        <v>11595</v>
      </c>
      <c r="G35" s="4">
        <v>0.77710000000000001</v>
      </c>
      <c r="H35" s="9">
        <v>0</v>
      </c>
      <c r="I35" s="4">
        <v>0</v>
      </c>
      <c r="J35" s="9">
        <v>0</v>
      </c>
      <c r="K35" s="4">
        <v>0</v>
      </c>
      <c r="L35" s="2">
        <v>298</v>
      </c>
      <c r="M35" s="13">
        <v>0.02</v>
      </c>
      <c r="N35" s="2">
        <v>3028</v>
      </c>
      <c r="O35" s="13">
        <v>0.2029</v>
      </c>
    </row>
    <row r="36" spans="1:15" x14ac:dyDescent="0.35">
      <c r="A36" s="2" t="s">
        <v>35</v>
      </c>
      <c r="B36" s="6">
        <v>46141</v>
      </c>
      <c r="C36" s="11" t="s">
        <v>34</v>
      </c>
      <c r="D36" s="9">
        <f>E36*16</f>
        <v>2152</v>
      </c>
      <c r="E36" s="9">
        <v>134.5</v>
      </c>
      <c r="F36" s="9">
        <v>2683</v>
      </c>
      <c r="G36" s="4">
        <v>0.87507999999999997</v>
      </c>
      <c r="H36" s="9">
        <v>383</v>
      </c>
      <c r="I36" s="4">
        <v>0.12492</v>
      </c>
      <c r="J36" s="9">
        <v>0</v>
      </c>
      <c r="K36" s="4">
        <v>0</v>
      </c>
      <c r="L36" s="2">
        <v>54</v>
      </c>
      <c r="M36" s="13">
        <f>L36/3120.4</f>
        <v>1.7305473657223434E-2</v>
      </c>
      <c r="N36" s="2">
        <v>0</v>
      </c>
      <c r="O36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3401-6F11-4493-9307-4AE22D1B7D44}">
  <dimension ref="A1:H3"/>
  <sheetViews>
    <sheetView workbookViewId="0">
      <selection activeCell="K14" sqref="K14"/>
    </sheetView>
  </sheetViews>
  <sheetFormatPr defaultRowHeight="14.5" x14ac:dyDescent="0.35"/>
  <cols>
    <col min="1" max="1" width="5.54296875" style="2" bestFit="1" customWidth="1"/>
    <col min="2" max="2" width="9.08984375" style="2" bestFit="1" customWidth="1"/>
    <col min="3" max="3" width="3.81640625" style="2" bestFit="1" customWidth="1"/>
    <col min="4" max="4" width="9.6328125" style="2" bestFit="1" customWidth="1"/>
    <col min="5" max="5" width="9.90625" style="2" bestFit="1" customWidth="1"/>
    <col min="6" max="6" width="9" style="2" bestFit="1" customWidth="1"/>
    <col min="7" max="7" width="12.54296875" style="2" bestFit="1" customWidth="1"/>
    <col min="8" max="8" width="9.6328125" style="2" bestFit="1" customWidth="1"/>
  </cols>
  <sheetData>
    <row r="1" spans="1:8" s="1" customFormat="1" x14ac:dyDescent="0.35">
      <c r="A1" s="3" t="s">
        <v>4</v>
      </c>
      <c r="B1" s="3" t="s">
        <v>0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</row>
    <row r="2" spans="1:8" x14ac:dyDescent="0.35">
      <c r="A2" s="2">
        <v>1</v>
      </c>
      <c r="B2" s="6">
        <v>46128</v>
      </c>
      <c r="C2" s="2">
        <v>566</v>
      </c>
      <c r="D2" s="2">
        <v>47087</v>
      </c>
      <c r="E2" s="2">
        <v>13700</v>
      </c>
      <c r="F2" s="2">
        <v>37414</v>
      </c>
      <c r="G2" s="2">
        <v>123790.64</v>
      </c>
      <c r="H2" s="2">
        <v>78986.429999999993</v>
      </c>
    </row>
    <row r="3" spans="1:8" x14ac:dyDescent="0.35">
      <c r="A3" s="2" t="s">
        <v>25</v>
      </c>
      <c r="B3" s="6">
        <v>46128</v>
      </c>
      <c r="C3" s="2">
        <v>428</v>
      </c>
      <c r="D3" s="2">
        <v>37878</v>
      </c>
      <c r="E3" s="2">
        <v>10932</v>
      </c>
      <c r="F3" s="2">
        <v>25536</v>
      </c>
      <c r="G3" s="2">
        <v>96611.11</v>
      </c>
      <c r="H3" s="2">
        <v>66447.3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Harvest Reports</vt:lpstr>
      <vt:lpstr>Packouts</vt:lpstr>
      <vt:lpstr>Pool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Slater</dc:creator>
  <cp:lastModifiedBy>Meagan Slater</cp:lastModifiedBy>
  <dcterms:created xsi:type="dcterms:W3CDTF">2026-03-11T17:06:39Z</dcterms:created>
  <dcterms:modified xsi:type="dcterms:W3CDTF">2026-05-27T01:15:19Z</dcterms:modified>
</cp:coreProperties>
</file>